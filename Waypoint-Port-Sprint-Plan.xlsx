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Overview" sheetId="1" state="visible" r:id="rId3"/>
    <sheet name="Task Breakdown" sheetId="2" state="visible" r:id="rId4"/>
    <sheet name="Tech Stack" sheetId="3" state="visible" r:id="rId5"/>
    <sheet name="Effor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<sst xmlns="http://schemas.openxmlformats.org/spreadsheetml/2006/main" count="764" uniqueCount="519">
  <si>
    <t xml:space="preserve">WAYPOINT 2.0 — PORT-FIRST SPRINT PLAN</t>
  </si>
  <si>
    <t xml:space="preserve">Strategy: Port GAS MVP core → Ship to App Store → Layer 2.0 features (Calendar/Deadline Engine + Google Integrations)</t>
  </si>
  <si>
    <t xml:space="preserve">Sprint</t>
  </si>
  <si>
    <t xml:space="preserve">Name</t>
  </si>
  <si>
    <t xml:space="preserve">Duration</t>
  </si>
  <si>
    <t xml:space="preserve">Key Deliverables</t>
  </si>
  <si>
    <t xml:space="preserve">Exit Criteria</t>
  </si>
  <si>
    <t xml:space="preserve">Dependencies</t>
  </si>
  <si>
    <t xml:space="preserve">Risk Level</t>
  </si>
  <si>
    <t xml:space="preserve">Sprint 1</t>
  </si>
  <si>
    <t xml:space="preserve">Foundation &amp; Auth</t>
  </si>
  <si>
    <t xml:space="preserve">Week 1-2
(10 days)</t>
  </si>
  <si>
    <t xml:space="preserve">• Supabase project setup + schema migration
• Apple Sign-In + Google Sign-In (OAuth)
• Onboarding flow (6 screens: Welcome → AddChild → Diagnosis → StateAndRC → Insurance → Complete)
• User profile persistence to Supabase
• Bottom tab navigator (Home, Navigator, Actions, Profile)</t>
  </si>
  <si>
    <t xml:space="preserve">• User can sign in with Apple/Google
• Complete onboarding saves to DB
• Tab navigation works
• Profile data persists across sessions</t>
  </si>
  <si>
    <t xml:space="preserve">• Supabase project created
• Apple Dev account configured
• Google Cloud Console OAuth setup</t>
  </si>
  <si>
    <t xml:space="preserve">Medium</t>
  </si>
  <si>
    <t xml:space="preserve">Sprint 2</t>
  </si>
  <si>
    <t xml:space="preserve">AI Navigator Port</t>
  </si>
  <si>
    <t xml:space="preserve">Week 3-4
(10 days)</t>
  </si>
  <si>
    <t xml:space="preserve">• Port AI Navigator chat UI (message bubbles, typing indicator, follow-up suggestions)
• Supabase Edge Function for Claude API calls (replaces GAS UrlFetchApp)
• Port question classification system (7 categories + urgency + emotional state)
• Port tone calibration engine (collaborative → assertive → adversarial)
• Chat session persistence (chat_sessions + chat_messages tables)
• Port system prompts and context injection logic</t>
  </si>
  <si>
    <t xml:space="preserve">• User can chat with AI Navigator
• Responses include empathy, actions, legal citations
• Tone adjusts based on user preference
• Chat history persists across sessions</t>
  </si>
  <si>
    <t xml:space="preserve">• Sprint 1 complete (auth + onboarding)
• Anthropic API key in Supabase secrets
• System prompts migrated</t>
  </si>
  <si>
    <t xml:space="preserve">High</t>
  </si>
  <si>
    <t xml:space="preserve">Sprint 3</t>
  </si>
  <si>
    <t xml:space="preserve">Knowledge Base + Action Plan Port</t>
  </si>
  <si>
    <t xml:space="preserve">Week 5-6
(10 days)</t>
  </si>
  <si>
    <t xml:space="preserve">• Migrate 49 KB articles to Supabase + pgvector embeddings
• Build RAG retrieval pipeline (embed question → vector similarity → context injection)
• Port action plan engine (priority cards, status tracking, save-from-chat)
• Port draft generation (12 templates with tone calibration)
• Action plan UI (card view, status toggles, expand/collapse)
• Port email analyzer feature</t>
  </si>
  <si>
    <t xml:space="preserve">• AI responses grounded in KB via RAG (not just prompt)
• Users can save AI suggestions to action plan
• Action cards show priority, scripts, drafts
• Email analyzer returns red flags + action items</t>
  </si>
  <si>
    <t xml:space="preserve">• Sprint 2 complete (AI chat working)
• OpenAI API key for embeddings
• KB articles cleaned for embedding</t>
  </si>
  <si>
    <t xml:space="preserve">Sprint 4</t>
  </si>
  <si>
    <t xml:space="preserve">Calendar/Deadline Engine + Google Calendar</t>
  </si>
  <si>
    <t xml:space="preserve">Week 7-8
(10 days)</t>
  </si>
  <si>
    <t xml:space="preserve">• Build deadline engine (auto-calculate legal deadlines from onboarding data)
• Deadline types: IEP review, RC IPP, insurance appeal window, SSI redetermination, authorization expiry
• Calendar UI screen (react-native-calendars or react-native-big-calendar)
• Google Calendar sync via OAuth + Calendar API (read existing events + write deadlines)
• Push notification setup (expo-notifications) for deadline reminders
• Reminder preferences (7-day, 3-day, 1-day, day-of)
• ICS file generation for manual calendar add (fallback)</t>
  </si>
  <si>
    <t xml:space="preserve">• Deadlines auto-populate from user profile data
• Deadlines sync to Google Calendar
• Push notifications fire for upcoming deadlines
• Calendar screen shows all appointments + deadlines
• Users can manually add appointments</t>
  </si>
  <si>
    <t xml:space="preserve">• Sprint 1 complete (user profile with RC/IEP status)
• Google OAuth configured with calendar scope
• expo-notifications configured
• EAS development build (not Expo Go)</t>
  </si>
  <si>
    <t xml:space="preserve">Sprint 5</t>
  </si>
  <si>
    <t xml:space="preserve">Gmail Integration + Email Drafts</t>
  </si>
  <si>
    <t xml:space="preserve">Week 9-10
(10 days)</t>
  </si>
  <si>
    <t xml:space="preserve">• Google OAuth scope expansion (gmail.send + gmail.readonly)
• Email draft composer (pre-populated from AI draft templates)
• "Send via Gmail" button (Gmail API send)
• Email inbox reader (gmail.readonly) for email analyzer feature
• Pull emails from RC/school/insurance senders for analysis
• Draft review screen (edit before sending)
• Email history log (track what was sent, when, to whom)</t>
  </si>
  <si>
    <t xml:space="preserve">• Users can send AI-drafted emails directly from app
• Users can pull emails from Gmail for analysis
• Email analyzer works without copy-paste
• Sent email history tracked in app</t>
  </si>
  <si>
    <t xml:space="preserve">• Sprint 4 complete (Google OAuth already configured)
• Gmail API enabled in Google Cloud Console
• Backend token exchange for security</t>
  </si>
  <si>
    <t xml:space="preserve">Sprint 6</t>
  </si>
  <si>
    <t xml:space="preserve">Agency Directory + i18n + Polish</t>
  </si>
  <si>
    <t xml:space="preserve">Week 11-12
(10 days)</t>
  </si>
  <si>
    <t xml:space="preserve">• Port agency directory (21 RCs, school districts, insurance, SSA, IHSS, DOR)
• Port RC reimbursable services guide
• Port Learn More modals (16+ reference cards)
• Port i18n framework (1,000+ keys: Spanish + Vietnamese)
• Language switcher in profile settings
• Port journey maps (7 diagnosis-specific visual roadmaps)
• Loading states, error handling, empty states for all screens</t>
  </si>
  <si>
    <t xml:space="preserve">• Full agency directory searchable by ZIP
• All 16+ reference modals accessible
• App fully usable in Spanish and Vietnamese
• Journey maps render for all 7 diagnoses
• No loading/error UX gaps</t>
  </si>
  <si>
    <t xml:space="preserve">• Sprint 3 complete (KB + action plan)
• Translation strings exported from GAS
• Agency data structured for Supabase</t>
  </si>
  <si>
    <t xml:space="preserve">Low</t>
  </si>
  <si>
    <t xml:space="preserve">Sprint 7</t>
  </si>
  <si>
    <t xml:space="preserve">QA, Accessibility + TestFlight</t>
  </si>
  <si>
    <t xml:space="preserve">Week 13-14
(10 days)</t>
  </si>
  <si>
    <t xml:space="preserve">• Port QA test framework (adapt 1,000+ test cases for mobile)
• Run classification accuracy tests (target &gt;85%)
• WCAG AA accessibility audit (VoiceOver, Dynamic Type, contrast)
• Cross-device testing (iPhone SE, iPhone 15, iPad)
• Performance optimization (lazy loading, image caching, response caching)
• Bug fixes from QA + beta feedback
• App Store metadata (screenshots, description, privacy policy)
• TestFlight submission to 100 beta families</t>
  </si>
  <si>
    <t xml:space="preserve">• Classification accuracy &gt;85%
• VoiceOver fully functional
• No critical bugs on target devices
• TestFlight build distributed
• 100 beta testers onboarded</t>
  </si>
  <si>
    <t xml:space="preserve">• Sprints 1-6 complete
• Apple App Store Connect configured
• Privacy policy + terms written
• Beta tester list from FB groups</t>
  </si>
  <si>
    <t xml:space="preserve">Sprint 8</t>
  </si>
  <si>
    <t xml:space="preserve">Beta Feedback + App Store Submit</t>
  </si>
  <si>
    <t xml:space="preserve">Week 15-16
(10 days)</t>
  </si>
  <si>
    <t xml:space="preserve">• Daily feedback triage from 100 beta families
• Priority bug fixes and UX improvements
• Response quality tuning based on real questions
• KB gap analysis (what questions aren't being answered well?)
• Add 10-15 new KB articles based on beta feedback
• Analytics dashboard (usage patterns, popular features, drop-off points)
• App Store submission (iOS)
• Begin RC outreach to RCEB with beta outcome data</t>
  </si>
  <si>
    <t xml:space="preserve">• App Store approved and live
• 70%+ beta retention (users returning weekly)
• 5+ published user testimonials
• RCEB pilot conversation initiated
• KB expanded to 60+ articles</t>
  </si>
  <si>
    <t xml:space="preserve">• Sprint 7 complete (TestFlight live)
• 2+ weeks of beta usage data
• Outcome metrics documented
• RCEB contact identified</t>
  </si>
  <si>
    <t xml:space="preserve">DETAILED TASK BREAKDOWN — All 8 Sprints</t>
  </si>
  <si>
    <t xml:space="preserve">ID</t>
  </si>
  <si>
    <t xml:space="preserve">Task</t>
  </si>
  <si>
    <t xml:space="preserve">Description</t>
  </si>
  <si>
    <t xml:space="preserve">Priority</t>
  </si>
  <si>
    <t xml:space="preserve">Effort
(hours)</t>
  </si>
  <si>
    <t xml:space="preserve">Status</t>
  </si>
  <si>
    <t xml:space="preserve">GAS Source File</t>
  </si>
  <si>
    <t xml:space="preserve">New File(s)</t>
  </si>
  <si>
    <t xml:space="preserve">Notes</t>
  </si>
  <si>
    <t xml:space="preserve">SPRINT 1: Foundation &amp; Auth (Weeks 1-2)</t>
  </si>
  <si>
    <t xml:space="preserve">S1-01</t>
  </si>
  <si>
    <t xml:space="preserve">Create Supabase project + run migration</t>
  </si>
  <si>
    <t xml:space="preserve">Set up Supabase project, enable pgvector, run 001_schema_v1.sql to create all 13 tables</t>
  </si>
  <si>
    <t xml:space="preserve">Critical</t>
  </si>
  <si>
    <t xml:space="preserve">Not Started</t>
  </si>
  <si>
    <t xml:space="preserve">gas-mvp/Code.gs</t>
  </si>
  <si>
    <t xml:space="preserve">supabase/migrations/001_schema_v1.sql (exists)</t>
  </si>
  <si>
    <t xml:space="preserve">Schema already written; just needs deployment</t>
  </si>
  <si>
    <t xml:space="preserve">S1-02</t>
  </si>
  <si>
    <t xml:space="preserve">Configure Apple Sign-In</t>
  </si>
  <si>
    <t xml:space="preserve">Set up expo-apple-authentication, configure App ID + Provisioning Profile, wire to Supabase Auth</t>
  </si>
  <si>
    <t xml:space="preserve">N/A (new)</t>
  </si>
  <si>
    <t xml:space="preserve">src/lib/auth.ts, App.tsx updates</t>
  </si>
  <si>
    <t xml:space="preserve">Requires Apple Dev account; EAS build required</t>
  </si>
  <si>
    <t xml:space="preserve">S1-03</t>
  </si>
  <si>
    <t xml:space="preserve">Configure Google Sign-In</t>
  </si>
  <si>
    <t xml:space="preserve">Set up @react-native-google-signin, OAuth credentials in Google Cloud Console, wire to Supabase Auth</t>
  </si>
  <si>
    <t xml:space="preserve">src/lib/auth.ts, src/lib/google.ts</t>
  </si>
  <si>
    <t xml:space="preserve">Request calendar + gmail scopes now (used in Sprint 4-5)</t>
  </si>
  <si>
    <t xml:space="preserve">S1-04</t>
  </si>
  <si>
    <t xml:space="preserve">Build onboarding flow (6 screens)</t>
  </si>
  <si>
    <t xml:space="preserve">Port multi-step intake: parent name, child info, diagnosis, RC status, IEP status, insurance, tone pref, language</t>
  </si>
  <si>
    <t xml:space="preserve">gas-mvp/Index.html (onboarding section)</t>
  </si>
  <si>
    <t xml:space="preserve">src/screens/onboarding/*.tsx (6 files)</t>
  </si>
  <si>
    <t xml:space="preserve">Port intake fields; save to families + children + diagnoses tables</t>
  </si>
  <si>
    <t xml:space="preserve">S1-05</t>
  </si>
  <si>
    <t xml:space="preserve">Build bottom tab navigator</t>
  </si>
  <si>
    <t xml:space="preserve">Create MainTabNavigator with 5 tabs: Home, Navigator, Actions, Calendar, Profile</t>
  </si>
  <si>
    <t xml:space="preserve">gas-mvp/Index.html (nav section)</t>
  </si>
  <si>
    <t xml:space="preserve">src/navigation/MainTabs.tsx</t>
  </si>
  <si>
    <t xml:space="preserve">Use @react-navigation/bottom-tabs</t>
  </si>
  <si>
    <t xml:space="preserve">S1-06</t>
  </si>
  <si>
    <t xml:space="preserve">Build Home dashboard screen</t>
  </si>
  <si>
    <t xml:space="preserve">Port home screen with greeting, quick stats, emotional check-in, recent actions</t>
  </si>
  <si>
    <t xml:space="preserve">Scaffolded</t>
  </si>
  <si>
    <t xml:space="preserve">gas-mvp/Index.html (screen-home)</t>
  </si>
  <si>
    <t xml:space="preserve">src/screens/main/HomeScreen.tsx (update)</t>
  </si>
  <si>
    <t xml:space="preserve">Currently placeholder; needs real content</t>
  </si>
  <si>
    <t xml:space="preserve">S1-07</t>
  </si>
  <si>
    <t xml:space="preserve">User profile persistence</t>
  </si>
  <si>
    <t xml:space="preserve">CRUD operations for families, children, diagnoses tables via Supabase client</t>
  </si>
  <si>
    <t xml:space="preserve">gas-mvp/Code.gs (user mgmt functions)</t>
  </si>
  <si>
    <t xml:space="preserve">src/hooks/useFamily.ts, useChildren.ts</t>
  </si>
  <si>
    <t xml:space="preserve">Create reusable hooks for all screens</t>
  </si>
  <si>
    <t xml:space="preserve">S1-08</t>
  </si>
  <si>
    <t xml:space="preserve">Profile settings screen</t>
  </si>
  <si>
    <t xml:space="preserve">Port profile editing: diagnosis, RC status, tone setting, language preference</t>
  </si>
  <si>
    <t xml:space="preserve">gas-mvp/Index.html (screen-profile)</t>
  </si>
  <si>
    <t xml:space="preserve">src/screens/main/ProfileScreen.tsx</t>
  </si>
  <si>
    <t xml:space="preserve">Include language switcher + tone preference</t>
  </si>
  <si>
    <t xml:space="preserve">SPRINT 2: AI Navigator Port (Weeks 3-4)</t>
  </si>
  <si>
    <t xml:space="preserve">S2-01</t>
  </si>
  <si>
    <t xml:space="preserve">Create Supabase Edge Function for Claude API</t>
  </si>
  <si>
    <t xml:space="preserve">Serverless function that receives question + context, calls Claude API, returns structured JSON response</t>
  </si>
  <si>
    <t xml:space="preserve">gas-mvp/Code.gs (askWaypoint function)</t>
  </si>
  <si>
    <t xml:space="preserve">supabase/functions/ask-waypoint/index.ts</t>
  </si>
  <si>
    <t xml:space="preserve">Port the full askWaypoint pipeline; API key in Supabase secrets</t>
  </si>
  <si>
    <t xml:space="preserve">S2-02</t>
  </si>
  <si>
    <t xml:space="preserve">Port question classification system</t>
  </si>
  <si>
    <t xml:space="preserve">7 categories (regional-center, iep, insurance, benefits, education, transition, navigation) + urgency + emotional state</t>
  </si>
  <si>
    <t xml:space="preserve">gas-mvp/Code.gs (classifyQuestion)</t>
  </si>
  <si>
    <t xml:space="preserve">supabase/functions/ask-waypoint/classify.ts</t>
  </si>
  <si>
    <t xml:space="preserve">Port regex patterns + keyword lists</t>
  </si>
  <si>
    <t xml:space="preserve">S2-03</t>
  </si>
  <si>
    <t xml:space="preserve">Port tone calibration engine</t>
  </si>
  <si>
    <t xml:space="preserve">Collaborative → assertive → adversarial logic with user override and claim context detection</t>
  </si>
  <si>
    <t xml:space="preserve">gas-mvp/Code.gs (tone logic in askWaypoint)</t>
  </si>
  <si>
    <t xml:space="preserve">supabase/functions/ask-waypoint/tone.ts</t>
  </si>
  <si>
    <t xml:space="preserve">Port tone rules + prompt templates</t>
  </si>
  <si>
    <t xml:space="preserve">S2-04</t>
  </si>
  <si>
    <t xml:space="preserve">Build chat UI screen</t>
  </si>
  <si>
    <t xml:space="preserve">Message bubbles (user/assistant), typing indicator, follow-up suggestions, scroll-to-bottom, rich text rendering</t>
  </si>
  <si>
    <t xml:space="preserve">gas-mvp/Index.html (screen-chat)</t>
  </si>
  <si>
    <t xml:space="preserve">src/screens/main/NavigatorScreen.tsx</t>
  </si>
  <si>
    <t xml:space="preserve">Use FlatList with inverted; handle keyboard avoidance</t>
  </si>
  <si>
    <t xml:space="preserve">S2-05</t>
  </si>
  <si>
    <t xml:space="preserve">Port system prompts</t>
  </si>
  <si>
    <t xml:space="preserve">Migrate all 7 category-specific system prompts + persona prompt + context injection template</t>
  </si>
  <si>
    <t xml:space="preserve">gas-mvp/Code.gs (system prompts)</t>
  </si>
  <si>
    <t xml:space="preserve">supabase/functions/ask-waypoint/prompts.ts</t>
  </si>
  <si>
    <t xml:space="preserve">Store in code, not DB (version controlled)</t>
  </si>
  <si>
    <t xml:space="preserve">S2-06</t>
  </si>
  <si>
    <t xml:space="preserve">Chat session persistence</t>
  </si>
  <si>
    <t xml:space="preserve">Save/load chat sessions to chat_sessions + chat_messages tables; session list UI</t>
  </si>
  <si>
    <t xml:space="preserve">gas-mvp/Code.gs (chat session functions)</t>
  </si>
  <si>
    <t xml:space="preserve">src/hooks/useChat.ts, src/screens/main/ChatHistoryScreen.tsx</t>
  </si>
  <si>
    <t xml:space="preserve">Port conversational continuity logic</t>
  </si>
  <si>
    <t xml:space="preserve">S2-07</t>
  </si>
  <si>
    <t xml:space="preserve">Port context injection</t>
  </si>
  <si>
    <t xml:space="preserve">Inject user profile, child diagnosis, action history, chat history into AI prompts for personalization</t>
  </si>
  <si>
    <t xml:space="preserve">gas-mvp/Code.gs (context building in askWaypoint)</t>
  </si>
  <si>
    <t xml:space="preserve">supabase/functions/ask-waypoint/context.ts</t>
  </si>
  <si>
    <t xml:space="preserve">Critical for response quality</t>
  </si>
  <si>
    <t xml:space="preserve">SPRINT 3: Knowledge Base + Action Plan (Weeks 5-6)</t>
  </si>
  <si>
    <t xml:space="preserve">S3-01</t>
  </si>
  <si>
    <t xml:space="preserve">Migrate KB articles to Supabase</t>
  </si>
  <si>
    <t xml:space="preserve">Load 49 KB articles into knowledge_embeddings table with metadata (category, diagnosis, entity)</t>
  </si>
  <si>
    <t xml:space="preserve">gas-mvp/Code.gs (seedKnowledgeBase)</t>
  </si>
  <si>
    <t xml:space="preserve">scripts/seed-kb.ts</t>
  </si>
  <si>
    <t xml:space="preserve">Export from Google Sheets → structured JSON → Supabase insert</t>
  </si>
  <si>
    <t xml:space="preserve">S3-02</t>
  </si>
  <si>
    <t xml:space="preserve">Generate pgvector embeddings</t>
  </si>
  <si>
    <t xml:space="preserve">Embed all KB articles using OpenAI text-embedding-3-small (1536d), store in knowledge_embeddings</t>
  </si>
  <si>
    <t xml:space="preserve">N/A (new capability)</t>
  </si>
  <si>
    <t xml:space="preserve">scripts/embed-kb.ts</t>
  </si>
  <si>
    <t xml:space="preserve">Batch embed; ~$0.10 total cost for 49 articles</t>
  </si>
  <si>
    <t xml:space="preserve">S3-03</t>
  </si>
  <si>
    <t xml:space="preserve">Build RAG retrieval pipeline</t>
  </si>
  <si>
    <t xml:space="preserve">On each question: embed query → vector similarity search → inject top-K articles into prompt context</t>
  </si>
  <si>
    <t xml:space="preserve">gas-mvp/Code.gs (keyword-based retrieval)</t>
  </si>
  <si>
    <t xml:space="preserve">supabase/functions/ask-waypoint/rag.ts</t>
  </si>
  <si>
    <t xml:space="preserve">Upgrade from keyword match to semantic search</t>
  </si>
  <si>
    <t xml:space="preserve">S3-04</t>
  </si>
  <si>
    <t xml:space="preserve">Port action plan engine</t>
  </si>
  <si>
    <t xml:space="preserve">Action cards with priority levels, status tracking (completed/started/dismissed), save-from-chat, follow-ups</t>
  </si>
  <si>
    <t xml:space="preserve">gas-mvp/Index.html (screen-dashboard) + Code.gs (action functions)</t>
  </si>
  <si>
    <t xml:space="preserve">src/screens/main/ActionsScreen.tsx, src/hooks/useActions.ts</t>
  </si>
  <si>
    <t xml:space="preserve">Port action state persistence + follow-up logic</t>
  </si>
  <si>
    <t xml:space="preserve">S3-05</t>
  </si>
  <si>
    <t xml:space="preserve">Port draft generation (12 templates)</t>
  </si>
  <si>
    <t xml:space="preserve">Appeal letters, IEP emails, RC requests, complaints, assessment requests, records requests, PWN, CDE, 4731</t>
  </si>
  <si>
    <t xml:space="preserve">gas-mvp/Code.gs (generateDraft)</t>
  </si>
  <si>
    <t xml:space="preserve">supabase/functions/generate-draft/index.ts</t>
  </si>
  <si>
    <t xml:space="preserve">Port all 12 template types + tone variants</t>
  </si>
  <si>
    <t xml:space="preserve">S3-06</t>
  </si>
  <si>
    <t xml:space="preserve">Port email analyzer</t>
  </si>
  <si>
    <t xml:space="preserve">Paste or import email → AI analysis returning summary, red flags, action items, rights at stake, draft response</t>
  </si>
  <si>
    <t xml:space="preserve">gas-mvp/Code.gs (analyzeEmailAI) + Index.html (screen-email)</t>
  </si>
  <si>
    <t xml:space="preserve">src/screens/main/EmailAnalyzerScreen.tsx, supabase/functions/analyze-email/index.ts</t>
  </si>
  <si>
    <t xml:space="preserve">Will integrate with Gmail in Sprint 5</t>
  </si>
  <si>
    <t xml:space="preserve">SPRINT 4: Calendar/Deadline Engine + Google Calendar (Weeks 7-8)</t>
  </si>
  <si>
    <t xml:space="preserve">S4-01</t>
  </si>
  <si>
    <t xml:space="preserve">Build deadline calculation engine</t>
  </si>
  <si>
    <t xml:space="preserve">Auto-calculate legal deadlines from user profile: IEP review dates, RC IPP timelines, insurance appeal windows, SSI redetermination, auth expiry</t>
  </si>
  <si>
    <t xml:space="preserve">gas-mvp/Index.html (timeline cards modal)</t>
  </si>
  <si>
    <t xml:space="preserve">src/lib/deadlines.ts, src/hooks/useDeadlines.ts</t>
  </si>
  <si>
    <t xml:space="preserve">Port all deadline rules from timeline cards; use deadlines table</t>
  </si>
  <si>
    <t xml:space="preserve">S4-02</t>
  </si>
  <si>
    <t xml:space="preserve">Build calendar UI screen</t>
  </si>
  <si>
    <t xml:space="preserve">Monthly/weekly calendar view showing deadlines + appointments; color-coded by type; tap to view details</t>
  </si>
  <si>
    <t xml:space="preserve">N/A (new screen)</t>
  </si>
  <si>
    <t xml:space="preserve">src/screens/main/CalendarScreen.tsx</t>
  </si>
  <si>
    <t xml:space="preserve">Use react-native-calendars (Wix); or react-native-big-calendar</t>
  </si>
  <si>
    <t xml:space="preserve">S4-03</t>
  </si>
  <si>
    <t xml:space="preserve">Google Calendar API: read events</t>
  </si>
  <si>
    <t xml:space="preserve">Read user's existing Google Calendar events via Calendar API; display in-app alongside Waypoint deadlines</t>
  </si>
  <si>
    <t xml:space="preserve">src/lib/googleCalendar.ts</t>
  </si>
  <si>
    <t xml:space="preserve">Uses Google OAuth from Sprint 1 (calendar.readonly scope)</t>
  </si>
  <si>
    <t xml:space="preserve">S4-04</t>
  </si>
  <si>
    <t xml:space="preserve">Google Calendar API: write deadlines</t>
  </si>
  <si>
    <t xml:space="preserve">Sync Waypoint-generated deadlines to user's Google Calendar; include description with legal context + action items</t>
  </si>
  <si>
    <t xml:space="preserve">gas-mvp/Code.gs (ICS generation)</t>
  </si>
  <si>
    <t xml:space="preserve">src/lib/googleCalendar.ts (extend)</t>
  </si>
  <si>
    <t xml:space="preserve">Uses calendar scope; add reminders (7d, 3d, 1d)</t>
  </si>
  <si>
    <t xml:space="preserve">S4-05</t>
  </si>
  <si>
    <t xml:space="preserve">Push notification system</t>
  </si>
  <si>
    <t xml:space="preserve">Configure expo-notifications for deadline reminders; reminder preferences (7-day, 3-day, 1-day, day-of)</t>
  </si>
  <si>
    <t xml:space="preserve">gas-mvp/Code.gs (sendDeadlineReminders)</t>
  </si>
  <si>
    <t xml:space="preserve">src/lib/notifications.ts, src/hooks/useNotifications.ts</t>
  </si>
  <si>
    <t xml:space="preserve">Requires EAS build + push notification certs</t>
  </si>
  <si>
    <t xml:space="preserve">S4-06</t>
  </si>
  <si>
    <t xml:space="preserve">ICS fallback generation</t>
  </si>
  <si>
    <t xml:space="preserve">Generate .ics calendar files for users who don't connect Google Calendar; share via native share sheet</t>
  </si>
  <si>
    <t xml:space="preserve">src/lib/ics.ts</t>
  </si>
  <si>
    <t xml:space="preserve">Port existing ICS logic from GAS</t>
  </si>
  <si>
    <t xml:space="preserve">S4-07</t>
  </si>
  <si>
    <t xml:space="preserve">Manual appointment creation</t>
  </si>
  <si>
    <t xml:space="preserve">Users can add therapy appointments, IEP meetings, evaluations manually; saves to appointments table + Google Calendar</t>
  </si>
  <si>
    <t xml:space="preserve">src/components/AddAppointmentModal.tsx</t>
  </si>
  <si>
    <t xml:space="preserve">Appointment types enum from database.ts</t>
  </si>
  <si>
    <t xml:space="preserve">SPRINT 5: Gmail Integration + Email Drafts (Weeks 9-10)</t>
  </si>
  <si>
    <t xml:space="preserve">S5-01</t>
  </si>
  <si>
    <t xml:space="preserve">Gmail OAuth scope expansion</t>
  </si>
  <si>
    <t xml:space="preserve">Add gmail.send + gmail.readonly scopes to existing Google OAuth flow; handle incremental authorization</t>
  </si>
  <si>
    <t xml:space="preserve">src/lib/google.ts (extend)</t>
  </si>
  <si>
    <t xml:space="preserve">Must handle users who decline Gmail permission gracefully</t>
  </si>
  <si>
    <t xml:space="preserve">S5-02</t>
  </si>
  <si>
    <t xml:space="preserve">Email draft composer screen</t>
  </si>
  <si>
    <t xml:space="preserve">Pre-populated email editor from AI draft templates; editable To/Subject/Body; preview before sending</t>
  </si>
  <si>
    <t xml:space="preserve">gas-mvp/Index.html (draft viewer modal)</t>
  </si>
  <si>
    <t xml:space="preserve">src/screens/main/DraftComposerScreen.tsx</t>
  </si>
  <si>
    <t xml:space="preserve">Rich text editor for email body; [BRACKET] field highlighting</t>
  </si>
  <si>
    <t xml:space="preserve">S5-03</t>
  </si>
  <si>
    <t xml:space="preserve">Send via Gmail API</t>
  </si>
  <si>
    <t xml:space="preserve">Send drafted emails through Gmail API; confirm sent; log to email history</t>
  </si>
  <si>
    <t xml:space="preserve">src/lib/gmail.ts</t>
  </si>
  <si>
    <t xml:space="preserve">Supabase Edge Function for token exchange (security)</t>
  </si>
  <si>
    <t xml:space="preserve">S5-04</t>
  </si>
  <si>
    <t xml:space="preserve">Gmail inbox reader for email analyzer</t>
  </si>
  <si>
    <t xml:space="preserve">Pull recent emails from RC/school/insurance senders; show list; tap to analyze</t>
  </si>
  <si>
    <t xml:space="preserve">N/A (new — replaces copy-paste)</t>
  </si>
  <si>
    <t xml:space="preserve">src/screens/main/EmailInboxScreen.tsx</t>
  </si>
  <si>
    <t xml:space="preserve">Filter by known sender domains; paginate</t>
  </si>
  <si>
    <t xml:space="preserve">S5-05</t>
  </si>
  <si>
    <t xml:space="preserve">Email history log</t>
  </si>
  <si>
    <t xml:space="preserve">Track sent emails: date, recipient, subject, draft type, outcome; searchable list</t>
  </si>
  <si>
    <t xml:space="preserve">gas-mvp/Code.gs (DraftLog)</t>
  </si>
  <si>
    <t xml:space="preserve">src/hooks/useEmailHistory.ts, src/screens/main/EmailHistoryScreen.tsx</t>
  </si>
  <si>
    <t xml:space="preserve">New table or extend existing</t>
  </si>
  <si>
    <t xml:space="preserve">S5-06</t>
  </si>
  <si>
    <t xml:space="preserve">Fallback: expo-mail-composer</t>
  </si>
  <si>
    <t xml:space="preserve">For users who don't connect Gmail: open native email app with pre-filled fields</t>
  </si>
  <si>
    <t xml:space="preserve">N/A (fallback)</t>
  </si>
  <si>
    <t xml:space="preserve">src/lib/mailFallback.ts</t>
  </si>
  <si>
    <t xml:space="preserve">Uses expo-mail-composer; always available</t>
  </si>
  <si>
    <t xml:space="preserve">SPRINT 6: Agency Directory + i18n + Polish (Weeks 11-12)</t>
  </si>
  <si>
    <t xml:space="preserve">S6-01</t>
  </si>
  <si>
    <t xml:space="preserve">Port agency directory</t>
  </si>
  <si>
    <t xml:space="preserve">21 RCs with ZIP lookup, school districts, insurance, SSA, IHSS, DOR; searchable cards</t>
  </si>
  <si>
    <t xml:space="preserve">gas-mvp/Index.html (screen-agencies)</t>
  </si>
  <si>
    <t xml:space="preserve">src/screens/main/AgencyDirectoryScreen.tsx</t>
  </si>
  <si>
    <t xml:space="preserve">Port agency data to Supabase or local JSON</t>
  </si>
  <si>
    <t xml:space="preserve">S6-02</t>
  </si>
  <si>
    <t xml:space="preserve">Port RC reimbursable services guide</t>
  </si>
  <si>
    <t xml:space="preserve">11 service categories with process flows, required docs, dispute resolution language</t>
  </si>
  <si>
    <t xml:space="preserve">gas-mvp/Index.html (screen-reimburse)</t>
  </si>
  <si>
    <t xml:space="preserve">src/screens/main/ReimbursableServicesScreen.tsx</t>
  </si>
  <si>
    <t xml:space="preserve">Port all 11 service detailed breakdowns</t>
  </si>
  <si>
    <t xml:space="preserve">S6-03</t>
  </si>
  <si>
    <t xml:space="preserve">Port Learn More modals (16+)</t>
  </si>
  <si>
    <t xml:space="preserve">SSI, IHSS, IEP, IPP, RC, Medi-Cal, CalABLE, DOR, Fair Hearing, 4731, Lanterman, CDE, IMR, EPSDT, SB 946</t>
  </si>
  <si>
    <t xml:space="preserve">gas-mvp/Index.html (learn-more modals)</t>
  </si>
  <si>
    <t xml:space="preserve">src/components/LearnMoreModal.tsx + content files</t>
  </si>
  <si>
    <t xml:space="preserve">16+ content modules; port HTML → React Native</t>
  </si>
  <si>
    <t xml:space="preserve">S6-04</t>
  </si>
  <si>
    <t xml:space="preserve">Port i18n framework</t>
  </si>
  <si>
    <t xml:space="preserve">1,000+ translation keys for Spanish + Vietnamese; language switcher; AI responses in selected language</t>
  </si>
  <si>
    <t xml:space="preserve">gas-mvp/Index.html (i18n object)</t>
  </si>
  <si>
    <t xml:space="preserve">src/lib/i18n.ts, src/locales/*.json</t>
  </si>
  <si>
    <t xml:space="preserve">Use react-native-i18n or i18next; export keys from GAS</t>
  </si>
  <si>
    <t xml:space="preserve">S6-05</t>
  </si>
  <si>
    <t xml:space="preserve">Port journey maps</t>
  </si>
  <si>
    <t xml:space="preserve">7 diagnosis-specific visual roadmaps with milestones, legal timelines, age bands</t>
  </si>
  <si>
    <t xml:space="preserve">gas-mvp/Index.html (screen-journey)</t>
  </si>
  <si>
    <t xml:space="preserve">src/screens/main/JourneyMapScreen.tsx</t>
  </si>
  <si>
    <t xml:space="preserve">Visual timeline component; diagnosis-aware rendering</t>
  </si>
  <si>
    <t xml:space="preserve">S6-06</t>
  </si>
  <si>
    <t xml:space="preserve">Loading states + error handling</t>
  </si>
  <si>
    <t xml:space="preserve">Skeleton screens, error boundaries, empty states, retry logic for all screens</t>
  </si>
  <si>
    <t xml:space="preserve">N/A (new — polish)</t>
  </si>
  <si>
    <t xml:space="preserve">src/components/ErrorBoundary.tsx, SkeletonLoader.tsx</t>
  </si>
  <si>
    <t xml:space="preserve">Critical for production quality</t>
  </si>
  <si>
    <t xml:space="preserve">SPRINT 7: QA, Accessibility + TestFlight (Weeks 13-14)</t>
  </si>
  <si>
    <t xml:space="preserve">S7-01</t>
  </si>
  <si>
    <t xml:space="preserve">Port QA test framework</t>
  </si>
  <si>
    <t xml:space="preserve">Adapt 1,000+ test cases for mobile; run classification accuracy tests</t>
  </si>
  <si>
    <t xml:space="preserve">gas-mvp/Code.gs (QA functions)</t>
  </si>
  <si>
    <t xml:space="preserve">scripts/qa-tests.ts</t>
  </si>
  <si>
    <t xml:space="preserve">Target &gt;85% classification accuracy</t>
  </si>
  <si>
    <t xml:space="preserve">S7-02</t>
  </si>
  <si>
    <t xml:space="preserve">Accessibility audit (WCAG AA)</t>
  </si>
  <si>
    <t xml:space="preserve">VoiceOver testing, Dynamic Type support, contrast ratios, 44pt touch targets, reduced motion</t>
  </si>
  <si>
    <t xml:space="preserve">gas-mvp/Index.html (WP-028 accessibility)</t>
  </si>
  <si>
    <t xml:space="preserve">All screen files (updates)</t>
  </si>
  <si>
    <t xml:space="preserve">Table stakes for a disability services app</t>
  </si>
  <si>
    <t xml:space="preserve">S7-03</t>
  </si>
  <si>
    <t xml:space="preserve">Cross-device testing</t>
  </si>
  <si>
    <t xml:space="preserve">Test on iPhone SE (small), iPhone 15 (standard), iPad; fix layout issues</t>
  </si>
  <si>
    <t xml:space="preserve">N/A</t>
  </si>
  <si>
    <t xml:space="preserve">N/A (bug fixes)</t>
  </si>
  <si>
    <t xml:space="preserve">Use Xcode simulator + physical devices</t>
  </si>
  <si>
    <t xml:space="preserve">S7-04</t>
  </si>
  <si>
    <t xml:space="preserve">Performance optimization</t>
  </si>
  <si>
    <t xml:space="preserve">Lazy loading, image caching, response caching, bundle size analysis, Hermes engine verification</t>
  </si>
  <si>
    <t xml:space="preserve">Various (optimizations)</t>
  </si>
  <si>
    <t xml:space="preserve">Profile with React Native Perf Monitor</t>
  </si>
  <si>
    <t xml:space="preserve">S7-05</t>
  </si>
  <si>
    <t xml:space="preserve">App Store metadata</t>
  </si>
  <si>
    <t xml:space="preserve">Screenshots (6.7" + 5.5"), description, keywords, privacy policy, terms of service</t>
  </si>
  <si>
    <t xml:space="preserve">App Store Connect</t>
  </si>
  <si>
    <t xml:space="preserve">Privacy policy must cover AI + data handling</t>
  </si>
  <si>
    <t xml:space="preserve">S7-06</t>
  </si>
  <si>
    <t xml:space="preserve">TestFlight submission</t>
  </si>
  <si>
    <t xml:space="preserve">Build + submit to TestFlight; invite 100 beta families from FB groups + personal network</t>
  </si>
  <si>
    <t xml:space="preserve">EAS Build → TestFlight</t>
  </si>
  <si>
    <t xml:space="preserve">Recruit from autism, ADHD, Down syndrome FB groups</t>
  </si>
  <si>
    <t xml:space="preserve">SPRINT 8: Beta Feedback + App Store Submit (Weeks 15-16)</t>
  </si>
  <si>
    <t xml:space="preserve">S8-01</t>
  </si>
  <si>
    <t xml:space="preserve">Daily beta feedback triage</t>
  </si>
  <si>
    <t xml:space="preserve">Collect, categorize, prioritize feedback from 100 beta families; daily fix cycles</t>
  </si>
  <si>
    <t xml:space="preserve">N/A (process)</t>
  </si>
  <si>
    <t xml:space="preserve">Use Discord/Slack channel for real-time feedback</t>
  </si>
  <si>
    <t xml:space="preserve">S8-02</t>
  </si>
  <si>
    <t xml:space="preserve">Priority bug fixes</t>
  </si>
  <si>
    <t xml:space="preserve">Fix critical bugs from beta testing; UX improvements based on real usage</t>
  </si>
  <si>
    <t xml:space="preserve">Various (fixes)</t>
  </si>
  <si>
    <t xml:space="preserve">Expect 15-25 bugs in first week</t>
  </si>
  <si>
    <t xml:space="preserve">S8-03</t>
  </si>
  <si>
    <t xml:space="preserve">KB gap analysis + expansion</t>
  </si>
  <si>
    <t xml:space="preserve">Identify questions beta users ask that KB can't answer well; write 10-15 new articles</t>
  </si>
  <si>
    <t xml:space="preserve">New KB articles in Supabase</t>
  </si>
  <si>
    <t xml:space="preserve">Target 60+ articles by end of sprint</t>
  </si>
  <si>
    <t xml:space="preserve">S8-04</t>
  </si>
  <si>
    <t xml:space="preserve">Response quality tuning</t>
  </si>
  <si>
    <t xml:space="preserve">Refine system prompts based on real questions; improve classification edge cases</t>
  </si>
  <si>
    <t xml:space="preserve">supabase/functions/ask-waypoint/*</t>
  </si>
  <si>
    <t xml:space="preserve">Prompt updates</t>
  </si>
  <si>
    <t xml:space="preserve">Use QA test framework to measure improvements</t>
  </si>
  <si>
    <t xml:space="preserve">S8-05</t>
  </si>
  <si>
    <t xml:space="preserve">Analytics dashboard</t>
  </si>
  <si>
    <t xml:space="preserve">Usage patterns, popular features, drop-off points, response quality ratings</t>
  </si>
  <si>
    <t xml:space="preserve">src/screens/admin/AnalyticsScreen.tsx or Supabase Dashboard</t>
  </si>
  <si>
    <t xml:space="preserve">Use Supabase built-in analytics + custom queries</t>
  </si>
  <si>
    <t xml:space="preserve">S8-06</t>
  </si>
  <si>
    <t xml:space="preserve">App Store submission</t>
  </si>
  <si>
    <t xml:space="preserve">Submit to iOS App Store; address any review feedback</t>
  </si>
  <si>
    <t xml:space="preserve">Allow 2-5 days for Apple review</t>
  </si>
  <si>
    <t xml:space="preserve">S8-07</t>
  </si>
  <si>
    <t xml:space="preserve">Begin RCEB outreach</t>
  </si>
  <si>
    <t xml:space="preserve">Prepare demo + outcome data from beta; schedule meeting with RCEB; create Service Coordinator one-pager</t>
  </si>
  <si>
    <t xml:space="preserve">Outreach materials</t>
  </si>
  <si>
    <t xml:space="preserve">Use beta testimonials + usage metrics</t>
  </si>
  <si>
    <t xml:space="preserve">TOTAL</t>
  </si>
  <si>
    <t xml:space="preserve">TECHNOLOGY STACK &amp; DEPENDENCIES</t>
  </si>
  <si>
    <t xml:space="preserve">Category</t>
  </si>
  <si>
    <t xml:space="preserve">Technology</t>
  </si>
  <si>
    <t xml:space="preserve">Version</t>
  </si>
  <si>
    <t xml:space="preserve">Purpose</t>
  </si>
  <si>
    <t xml:space="preserve">Sprint Needed</t>
  </si>
  <si>
    <t xml:space="preserve">Runtime</t>
  </si>
  <si>
    <t xml:space="preserve">Expo SDK</t>
  </si>
  <si>
    <t xml:space="preserve">~52.0.0</t>
  </si>
  <si>
    <t xml:space="preserve">React Native framework + build tooling</t>
  </si>
  <si>
    <t xml:space="preserve">Already in package.json</t>
  </si>
  <si>
    <t xml:space="preserve">React Native</t>
  </si>
  <si>
    <t xml:space="preserve">0.76.9</t>
  </si>
  <si>
    <t xml:space="preserve">Mobile UI framework</t>
  </si>
  <si>
    <t xml:space="preserve">TypeScript</t>
  </si>
  <si>
    <t xml:space="preserve">~5.3.0</t>
  </si>
  <si>
    <t xml:space="preserve">Type safety (strict mode)</t>
  </si>
  <si>
    <t xml:space="preserve">Already configured</t>
  </si>
  <si>
    <t xml:space="preserve">Backend</t>
  </si>
  <si>
    <t xml:space="preserve">Supabase</t>
  </si>
  <si>
    <t xml:space="preserve">^2.45.0</t>
  </si>
  <si>
    <t xml:space="preserve">Auth + Postgres DB + Edge Functions + Storage</t>
  </si>
  <si>
    <t xml:space="preserve">Already in package.json; need project setup</t>
  </si>
  <si>
    <t xml:space="preserve">Supabase Edge Functions</t>
  </si>
  <si>
    <t xml:space="preserve">Deno</t>
  </si>
  <si>
    <t xml:space="preserve">Serverless API for Claude/OpenAI calls</t>
  </si>
  <si>
    <t xml:space="preserve">Deploy via Supabase CLI</t>
  </si>
  <si>
    <t xml:space="preserve">AI</t>
  </si>
  <si>
    <t xml:space="preserve">Anthropic Claude API</t>
  </si>
  <si>
    <t xml:space="preserve">claude-sonnet-4-6</t>
  </si>
  <si>
    <t xml:space="preserve">AI Navigator responses (Sonnet for most, Opus for complex)</t>
  </si>
  <si>
    <t xml:space="preserve">API key in Supabase secrets</t>
  </si>
  <si>
    <t xml:space="preserve">OpenAI Embeddings</t>
  </si>
  <si>
    <t xml:space="preserve">text-embedding-3-small</t>
  </si>
  <si>
    <t xml:space="preserve">KB article embeddings for RAG (1536d)</t>
  </si>
  <si>
    <t xml:space="preserve">~$0.10 total for 49 articles</t>
  </si>
  <si>
    <t xml:space="preserve">pgvector</t>
  </si>
  <si>
    <t xml:space="preserve">0.5+</t>
  </si>
  <si>
    <t xml:space="preserve">Vector similarity search in Postgres</t>
  </si>
  <si>
    <t xml:space="preserve">Already enabled in schema</t>
  </si>
  <si>
    <t xml:space="preserve">Auth</t>
  </si>
  <si>
    <t xml:space="preserve">expo-apple-authentication</t>
  </si>
  <si>
    <t xml:space="preserve">~7.1.0</t>
  </si>
  <si>
    <t xml:space="preserve">Apple Sign-In</t>
  </si>
  <si>
    <t xml:space="preserve">@react-native-google-signin</t>
  </si>
  <si>
    <t xml:space="preserve">latest</t>
  </si>
  <si>
    <t xml:space="preserve">Google Sign-In + OAuth for Calendar/Gmail</t>
  </si>
  <si>
    <t xml:space="preserve">Request calendar + gmail scopes upfront</t>
  </si>
  <si>
    <t xml:space="preserve">Navigation</t>
  </si>
  <si>
    <t xml:space="preserve">@react-navigation/native</t>
  </si>
  <si>
    <t xml:space="preserve">^7.0.0</t>
  </si>
  <si>
    <t xml:space="preserve">Stack + tab navigation</t>
  </si>
  <si>
    <t xml:space="preserve">@react-navigation/bottom-tabs</t>
  </si>
  <si>
    <t xml:space="preserve">Bottom tab navigator</t>
  </si>
  <si>
    <t xml:space="preserve">Need to install</t>
  </si>
  <si>
    <t xml:space="preserve">Calendar</t>
  </si>
  <si>
    <t xml:space="preserve">react-native-calendars</t>
  </si>
  <si>
    <t xml:space="preserve">Calendar UI component (Wix)</t>
  </si>
  <si>
    <t xml:space="preserve">Monthly/weekly views; dot indicators</t>
  </si>
  <si>
    <t xml:space="preserve">Google Calendar API</t>
  </si>
  <si>
    <t xml:space="preserve">v3</t>
  </si>
  <si>
    <t xml:space="preserve">Read/write events to Google Calendar</t>
  </si>
  <si>
    <t xml:space="preserve">Via google-signin OAuth token</t>
  </si>
  <si>
    <t xml:space="preserve">Notifications</t>
  </si>
  <si>
    <t xml:space="preserve">expo-notifications</t>
  </si>
  <si>
    <t xml:space="preserve">Push notifications for deadline reminders</t>
  </si>
  <si>
    <t xml:space="preserve">Requires EAS build + push certs</t>
  </si>
  <si>
    <t xml:space="preserve">Email</t>
  </si>
  <si>
    <t xml:space="preserve">Gmail API</t>
  </si>
  <si>
    <t xml:space="preserve">v1</t>
  </si>
  <si>
    <t xml:space="preserve">Send drafts + read inbox</t>
  </si>
  <si>
    <t xml:space="preserve">Via google-signin OAuth token; needs backend token exchange</t>
  </si>
  <si>
    <t xml:space="preserve">expo-mail-composer</t>
  </si>
  <si>
    <t xml:space="preserve">Fallback: native email compose</t>
  </si>
  <si>
    <t xml:space="preserve">Works without Google auth</t>
  </si>
  <si>
    <t xml:space="preserve">i18n</t>
  </si>
  <si>
    <t xml:space="preserve">i18next + react-i18next</t>
  </si>
  <si>
    <t xml:space="preserve">Internationalization framework</t>
  </si>
  <si>
    <t xml:space="preserve">1,000+ keys; Spanish + Vietnamese</t>
  </si>
  <si>
    <t xml:space="preserve">Storage</t>
  </si>
  <si>
    <t xml:space="preserve">@react-native-async-storage</t>
  </si>
  <si>
    <t xml:space="preserve">1.23.1</t>
  </si>
  <si>
    <t xml:space="preserve">Local session persistence</t>
  </si>
  <si>
    <t xml:space="preserve">expo-secure-store</t>
  </si>
  <si>
    <t xml:space="preserve">~14.0.0</t>
  </si>
  <si>
    <t xml:space="preserve">Secure credential storage (tokens)</t>
  </si>
  <si>
    <t xml:space="preserve">Build</t>
  </si>
  <si>
    <t xml:space="preserve">EAS Build</t>
  </si>
  <si>
    <t xml:space="preserve">Cloud builds for TestFlight/App Store</t>
  </si>
  <si>
    <t xml:space="preserve">Required for native modules (no Expo Go)</t>
  </si>
  <si>
    <t xml:space="preserve">Analytics</t>
  </si>
  <si>
    <t xml:space="preserve">Supabase Analytics</t>
  </si>
  <si>
    <t xml:space="preserve">built-in</t>
  </si>
  <si>
    <t xml:space="preserve">Usage tracking, query analytics</t>
  </si>
  <si>
    <t xml:space="preserve">Supplement with custom event logging</t>
  </si>
  <si>
    <t xml:space="preserve">Testing</t>
  </si>
  <si>
    <t xml:space="preserve">Jest + React Native Testing Library</t>
  </si>
  <si>
    <t xml:space="preserve">Unit + component tests</t>
  </si>
  <si>
    <t xml:space="preserve">Port QA test cases</t>
  </si>
  <si>
    <t xml:space="preserve">EFFORT SUMMARY BY SPRINT</t>
  </si>
  <si>
    <t xml:space="preserve">Weeks</t>
  </si>
  <si>
    <t xml:space="preserve">Tasks</t>
  </si>
  <si>
    <t xml:space="preserve">Total Hours</t>
  </si>
  <si>
    <t xml:space="preserve">Key Risk</t>
  </si>
  <si>
    <t xml:space="preserve">Google Integration?</t>
  </si>
  <si>
    <t xml:space="preserve">1-2</t>
  </si>
  <si>
    <t xml:space="preserve">Apple/Google OAuth complexity; EAS build setup</t>
  </si>
  <si>
    <t xml:space="preserve">Yes (Google Sign-In setup)</t>
  </si>
  <si>
    <t xml:space="preserve">3-4</t>
  </si>
  <si>
    <t xml:space="preserve">Claude API response quality in new architecture</t>
  </si>
  <si>
    <t xml:space="preserve">No</t>
  </si>
  <si>
    <t xml:space="preserve">KB + Action Plan Port</t>
  </si>
  <si>
    <t xml:space="preserve">5-6</t>
  </si>
  <si>
    <t xml:space="preserve">RAG retrieval quality; embedding accuracy</t>
  </si>
  <si>
    <t xml:space="preserve">7-8</t>
  </si>
  <si>
    <t xml:space="preserve">Google Calendar API token management; push notification certs</t>
  </si>
  <si>
    <t xml:space="preserve">Yes (Calendar API read/write)</t>
  </si>
  <si>
    <t xml:space="preserve">9-10</t>
  </si>
  <si>
    <t xml:space="preserve">Gmail API rate limits; token refresh; security</t>
  </si>
  <si>
    <t xml:space="preserve">Yes (Gmail API send/read)</t>
  </si>
  <si>
    <t xml:space="preserve">11-12</t>
  </si>
  <si>
    <t xml:space="preserve">i18n string completeness; content volume</t>
  </si>
  <si>
    <t xml:space="preserve">13-14</t>
  </si>
  <si>
    <t xml:space="preserve">Accessibility compliance gaps; App Store rejection</t>
  </si>
  <si>
    <t xml:space="preserve">15-16</t>
  </si>
  <si>
    <t xml:space="preserve">Beta user feedback volume; Apple review timeline</t>
  </si>
  <si>
    <t xml:space="preserve">TOTALS</t>
  </si>
  <si>
    <t xml:space="preserve">Timeline:</t>
  </si>
  <si>
    <t xml:space="preserve">16 weeks (4 months) from start to App Store submission</t>
  </si>
  <si>
    <t xml:space="preserve">Pace:</t>
  </si>
  <si>
    <t xml:space="preserve">~19 hours/week average (part-time, evenings + weekends feasible)</t>
  </si>
  <si>
    <t xml:space="preserve">Key Milestone:</t>
  </si>
  <si>
    <t xml:space="preserve">TestFlight to 100 families by Week 14; App Store live by Week 16</t>
  </si>
  <si>
    <t xml:space="preserve">Google Scope:</t>
  </si>
  <si>
    <t xml:space="preserve">Calendar read/write (Sprint 4) + Gmail send/read (Sprint 5). Request all scopes in Sprint 1 OAuth setup.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</si>
</sst>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1"/>
      <color rgb="FF0D94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FFBEB"/>
      </patternFill>
    </fill>
    <fill>
      <patternFill patternType="solid">
        <fgColor rgb="FFFFFBEB"/>
        <bgColor rgb="FFFFF3E8"/>
      </patternFill>
    </fill>
    <fill>
      <patternFill patternType="solid">
        <fgColor rgb="FFF3F4F6"/>
        <bgColor rgb="FFFEF2F2"/>
      </patternFill>
    </fill>
    <fill>
      <patternFill patternType="solid">
        <fgColor rgb="FFFFF3E8"/>
        <bgColor rgb="FFFEF2F2"/>
      </patternFill>
    </fill>
    <fill>
      <patternFill patternType="solid">
        <fgColor rgb="FFE6F7F5"/>
        <bgColor rgb="FFF3F4F6"/>
      </patternFill>
    </fill>
    <fill>
      <patternFill patternType="solid">
        <fgColor rgb="FFE8EBF0"/>
        <bgColor rgb="FFE5E7EB"/>
      </patternFill>
    </fill>
    <fill>
      <patternFill patternType="solid">
        <fgColor rgb="FFFEF2F2"/>
        <bgColor rgb="FFFFF3E8"/>
      </patternFill>
    </fill>
    <fill>
      <patternFill patternType="solid">
        <fgColor rgb="FFE5E7EB"/>
        <bgColor rgb="FFE8EB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FFBEB"/>
      <rgbColor rgb="FFE6F7F5"/>
      <rgbColor rgb="FF660066"/>
      <rgbColor rgb="FFFF8080"/>
      <rgbColor rgb="FF0066CC"/>
      <rgbColor rgb="FFF3F4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BF0"/>
      <rgbColor rgb="FFE5E7EB"/>
      <rgbColor rgb="FFFFF3E8"/>
      <rgbColor rgb="FF99CCFF"/>
      <rgbColor rgb="FFFF99CC"/>
      <rgbColor rgb="FFCC99FF"/>
      <rgbColor rgb="FFFEF2F2"/>
      <rgbColor rgb="FF3366FF"/>
      <rgbColor rgb="FF33CCCC"/>
      <rgbColor rgb="FF99CC00"/>
      <rgbColor rgb="FFFFCC00"/>
      <rgbColor rgb="FFFF9900"/>
      <rgbColor rgb="FFF9731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45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20" hidden="false" customHeight="tru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 t="s">
        <v>15</v>
      </c>
    </row>
    <row r="6" customFormat="false" ht="120" hidden="false" customHeight="true" outlineLevel="0" collapsed="false">
      <c r="A6" s="6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7" t="s">
        <v>22</v>
      </c>
    </row>
    <row r="7" customFormat="false" ht="120" hidden="false" customHeight="tru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7" t="s">
        <v>22</v>
      </c>
    </row>
    <row r="8" customFormat="false" ht="120" hidden="false" customHeight="true" outlineLevel="0" collapsed="false">
      <c r="A8" s="6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5" t="s">
        <v>15</v>
      </c>
    </row>
    <row r="9" customFormat="false" ht="120" hidden="false" customHeight="true" outlineLevel="0" collapsed="false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40</v>
      </c>
      <c r="G9" s="5" t="s">
        <v>15</v>
      </c>
    </row>
    <row r="10" customFormat="false" ht="120" hidden="false" customHeight="true" outlineLevel="0" collapsed="false">
      <c r="A10" s="6" t="s">
        <v>41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46</v>
      </c>
      <c r="G10" s="8" t="s">
        <v>47</v>
      </c>
    </row>
    <row r="11" customFormat="false" ht="120" hidden="false" customHeight="true" outlineLevel="0" collapsed="false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  <c r="F11" s="4" t="s">
        <v>53</v>
      </c>
      <c r="G11" s="8" t="s">
        <v>47</v>
      </c>
    </row>
    <row r="12" customFormat="false" ht="120" hidden="false" customHeight="true" outlineLevel="0" collapsed="false">
      <c r="A12" s="6" t="s">
        <v>54</v>
      </c>
      <c r="B12" s="6" t="s">
        <v>55</v>
      </c>
      <c r="C12" s="6" t="s">
        <v>56</v>
      </c>
      <c r="D12" s="6" t="s">
        <v>57</v>
      </c>
      <c r="E12" s="6" t="s">
        <v>58</v>
      </c>
      <c r="F12" s="6" t="s">
        <v>59</v>
      </c>
      <c r="G12" s="8" t="s">
        <v>47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35"/>
  </cols>
  <sheetData>
    <row r="1" customFormat="false" ht="30" hidden="false" customHeight="true" outlineLevel="0" collapsed="false">
      <c r="A1" s="9" t="s">
        <v>60</v>
      </c>
      <c r="B1" s="9"/>
      <c r="C1" s="9"/>
      <c r="D1" s="9"/>
      <c r="E1" s="9"/>
      <c r="F1" s="9"/>
      <c r="G1" s="9"/>
      <c r="H1" s="9"/>
      <c r="I1" s="9"/>
      <c r="J1" s="9"/>
    </row>
    <row r="3" customFormat="false" ht="30" hidden="false" customHeight="true" outlineLevel="0" collapsed="false">
      <c r="A3" s="3" t="s">
        <v>61</v>
      </c>
      <c r="B3" s="3" t="s">
        <v>2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</row>
    <row r="5" customFormat="false" ht="24.75" hidden="false" customHeight="true" outlineLevel="0" collapsed="false">
      <c r="A5" s="10" t="s">
        <v>70</v>
      </c>
      <c r="B5" s="10"/>
      <c r="C5" s="10"/>
      <c r="D5" s="10"/>
      <c r="E5" s="10"/>
      <c r="F5" s="10"/>
      <c r="G5" s="10"/>
      <c r="H5" s="10"/>
      <c r="I5" s="10"/>
      <c r="J5" s="10"/>
    </row>
    <row r="6" customFormat="false" ht="54.75" hidden="false" customHeight="true" outlineLevel="0" collapsed="false">
      <c r="A6" s="4" t="s">
        <v>71</v>
      </c>
      <c r="B6" s="4" t="s">
        <v>9</v>
      </c>
      <c r="C6" s="4" t="s">
        <v>72</v>
      </c>
      <c r="D6" s="4" t="s">
        <v>73</v>
      </c>
      <c r="E6" s="11" t="s">
        <v>74</v>
      </c>
      <c r="F6" s="12" t="n">
        <v>3</v>
      </c>
      <c r="G6" s="13" t="s">
        <v>75</v>
      </c>
      <c r="H6" s="4" t="s">
        <v>76</v>
      </c>
      <c r="I6" s="4" t="s">
        <v>77</v>
      </c>
      <c r="J6" s="4" t="s">
        <v>78</v>
      </c>
    </row>
    <row r="7" customFormat="false" ht="54.75" hidden="false" customHeight="true" outlineLevel="0" collapsed="false">
      <c r="A7" s="6" t="s">
        <v>79</v>
      </c>
      <c r="B7" s="6" t="s">
        <v>9</v>
      </c>
      <c r="C7" s="6" t="s">
        <v>80</v>
      </c>
      <c r="D7" s="6" t="s">
        <v>81</v>
      </c>
      <c r="E7" s="11" t="s">
        <v>74</v>
      </c>
      <c r="F7" s="14" t="n">
        <v>6</v>
      </c>
      <c r="G7" s="13" t="s">
        <v>75</v>
      </c>
      <c r="H7" s="6" t="s">
        <v>82</v>
      </c>
      <c r="I7" s="6" t="s">
        <v>83</v>
      </c>
      <c r="J7" s="6" t="s">
        <v>84</v>
      </c>
    </row>
    <row r="8" customFormat="false" ht="54.75" hidden="false" customHeight="true" outlineLevel="0" collapsed="false">
      <c r="A8" s="4" t="s">
        <v>85</v>
      </c>
      <c r="B8" s="4" t="s">
        <v>9</v>
      </c>
      <c r="C8" s="4" t="s">
        <v>86</v>
      </c>
      <c r="D8" s="4" t="s">
        <v>87</v>
      </c>
      <c r="E8" s="11" t="s">
        <v>74</v>
      </c>
      <c r="F8" s="12" t="n">
        <v>6</v>
      </c>
      <c r="G8" s="13" t="s">
        <v>75</v>
      </c>
      <c r="H8" s="4" t="s">
        <v>82</v>
      </c>
      <c r="I8" s="4" t="s">
        <v>88</v>
      </c>
      <c r="J8" s="4" t="s">
        <v>89</v>
      </c>
    </row>
    <row r="9" customFormat="false" ht="54.75" hidden="false" customHeight="true" outlineLevel="0" collapsed="false">
      <c r="A9" s="6" t="s">
        <v>90</v>
      </c>
      <c r="B9" s="6" t="s">
        <v>9</v>
      </c>
      <c r="C9" s="6" t="s">
        <v>91</v>
      </c>
      <c r="D9" s="6" t="s">
        <v>92</v>
      </c>
      <c r="E9" s="7" t="s">
        <v>22</v>
      </c>
      <c r="F9" s="14" t="n">
        <v>12</v>
      </c>
      <c r="G9" s="13" t="s">
        <v>75</v>
      </c>
      <c r="H9" s="6" t="s">
        <v>93</v>
      </c>
      <c r="I9" s="6" t="s">
        <v>94</v>
      </c>
      <c r="J9" s="6" t="s">
        <v>95</v>
      </c>
    </row>
    <row r="10" customFormat="false" ht="54.75" hidden="false" customHeight="true" outlineLevel="0" collapsed="false">
      <c r="A10" s="4" t="s">
        <v>96</v>
      </c>
      <c r="B10" s="4" t="s">
        <v>9</v>
      </c>
      <c r="C10" s="4" t="s">
        <v>97</v>
      </c>
      <c r="D10" s="4" t="s">
        <v>98</v>
      </c>
      <c r="E10" s="7" t="s">
        <v>22</v>
      </c>
      <c r="F10" s="12" t="n">
        <v>4</v>
      </c>
      <c r="G10" s="13" t="s">
        <v>75</v>
      </c>
      <c r="H10" s="4" t="s">
        <v>99</v>
      </c>
      <c r="I10" s="4" t="s">
        <v>100</v>
      </c>
      <c r="J10" s="4" t="s">
        <v>101</v>
      </c>
    </row>
    <row r="11" customFormat="false" ht="54.75" hidden="false" customHeight="true" outlineLevel="0" collapsed="false">
      <c r="A11" s="6" t="s">
        <v>102</v>
      </c>
      <c r="B11" s="6" t="s">
        <v>9</v>
      </c>
      <c r="C11" s="6" t="s">
        <v>103</v>
      </c>
      <c r="D11" s="6" t="s">
        <v>104</v>
      </c>
      <c r="E11" s="5" t="s">
        <v>15</v>
      </c>
      <c r="F11" s="14" t="n">
        <v>6</v>
      </c>
      <c r="G11" s="8" t="s">
        <v>105</v>
      </c>
      <c r="H11" s="6" t="s">
        <v>106</v>
      </c>
      <c r="I11" s="6" t="s">
        <v>107</v>
      </c>
      <c r="J11" s="6" t="s">
        <v>108</v>
      </c>
    </row>
    <row r="12" customFormat="false" ht="54.75" hidden="false" customHeight="true" outlineLevel="0" collapsed="false">
      <c r="A12" s="4" t="s">
        <v>109</v>
      </c>
      <c r="B12" s="4" t="s">
        <v>9</v>
      </c>
      <c r="C12" s="4" t="s">
        <v>110</v>
      </c>
      <c r="D12" s="4" t="s">
        <v>111</v>
      </c>
      <c r="E12" s="7" t="s">
        <v>22</v>
      </c>
      <c r="F12" s="12" t="n">
        <v>4</v>
      </c>
      <c r="G12" s="13" t="s">
        <v>75</v>
      </c>
      <c r="H12" s="4" t="s">
        <v>112</v>
      </c>
      <c r="I12" s="4" t="s">
        <v>113</v>
      </c>
      <c r="J12" s="4" t="s">
        <v>114</v>
      </c>
    </row>
    <row r="13" customFormat="false" ht="54.75" hidden="false" customHeight="true" outlineLevel="0" collapsed="false">
      <c r="A13" s="6" t="s">
        <v>115</v>
      </c>
      <c r="B13" s="6" t="s">
        <v>9</v>
      </c>
      <c r="C13" s="6" t="s">
        <v>116</v>
      </c>
      <c r="D13" s="6" t="s">
        <v>117</v>
      </c>
      <c r="E13" s="5" t="s">
        <v>15</v>
      </c>
      <c r="F13" s="14" t="n">
        <v>4</v>
      </c>
      <c r="G13" s="13" t="s">
        <v>75</v>
      </c>
      <c r="H13" s="6" t="s">
        <v>118</v>
      </c>
      <c r="I13" s="6" t="s">
        <v>119</v>
      </c>
      <c r="J13" s="6" t="s">
        <v>120</v>
      </c>
    </row>
    <row r="14" customFormat="false" ht="24.75" hidden="false" customHeight="true" outlineLevel="0" collapsed="false">
      <c r="A14" s="10" t="s">
        <v>121</v>
      </c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54.75" hidden="false" customHeight="true" outlineLevel="0" collapsed="false">
      <c r="A15" s="4" t="s">
        <v>122</v>
      </c>
      <c r="B15" s="4" t="s">
        <v>16</v>
      </c>
      <c r="C15" s="4" t="s">
        <v>123</v>
      </c>
      <c r="D15" s="4" t="s">
        <v>124</v>
      </c>
      <c r="E15" s="11" t="s">
        <v>74</v>
      </c>
      <c r="F15" s="12" t="n">
        <v>8</v>
      </c>
      <c r="G15" s="13" t="s">
        <v>75</v>
      </c>
      <c r="H15" s="4" t="s">
        <v>125</v>
      </c>
      <c r="I15" s="4" t="s">
        <v>126</v>
      </c>
      <c r="J15" s="4" t="s">
        <v>127</v>
      </c>
    </row>
    <row r="16" customFormat="false" ht="54.75" hidden="false" customHeight="true" outlineLevel="0" collapsed="false">
      <c r="A16" s="6" t="s">
        <v>128</v>
      </c>
      <c r="B16" s="6" t="s">
        <v>16</v>
      </c>
      <c r="C16" s="6" t="s">
        <v>129</v>
      </c>
      <c r="D16" s="6" t="s">
        <v>130</v>
      </c>
      <c r="E16" s="11" t="s">
        <v>74</v>
      </c>
      <c r="F16" s="14" t="n">
        <v>4</v>
      </c>
      <c r="G16" s="13" t="s">
        <v>75</v>
      </c>
      <c r="H16" s="6" t="s">
        <v>131</v>
      </c>
      <c r="I16" s="6" t="s">
        <v>132</v>
      </c>
      <c r="J16" s="6" t="s">
        <v>133</v>
      </c>
    </row>
    <row r="17" customFormat="false" ht="54.75" hidden="false" customHeight="true" outlineLevel="0" collapsed="false">
      <c r="A17" s="4" t="s">
        <v>134</v>
      </c>
      <c r="B17" s="4" t="s">
        <v>16</v>
      </c>
      <c r="C17" s="4" t="s">
        <v>135</v>
      </c>
      <c r="D17" s="4" t="s">
        <v>136</v>
      </c>
      <c r="E17" s="7" t="s">
        <v>22</v>
      </c>
      <c r="F17" s="12" t="n">
        <v>4</v>
      </c>
      <c r="G17" s="13" t="s">
        <v>75</v>
      </c>
      <c r="H17" s="4" t="s">
        <v>137</v>
      </c>
      <c r="I17" s="4" t="s">
        <v>138</v>
      </c>
      <c r="J17" s="4" t="s">
        <v>139</v>
      </c>
    </row>
    <row r="18" customFormat="false" ht="54.75" hidden="false" customHeight="true" outlineLevel="0" collapsed="false">
      <c r="A18" s="6" t="s">
        <v>140</v>
      </c>
      <c r="B18" s="6" t="s">
        <v>16</v>
      </c>
      <c r="C18" s="6" t="s">
        <v>141</v>
      </c>
      <c r="D18" s="6" t="s">
        <v>142</v>
      </c>
      <c r="E18" s="11" t="s">
        <v>74</v>
      </c>
      <c r="F18" s="14" t="n">
        <v>10</v>
      </c>
      <c r="G18" s="13" t="s">
        <v>75</v>
      </c>
      <c r="H18" s="6" t="s">
        <v>143</v>
      </c>
      <c r="I18" s="6" t="s">
        <v>144</v>
      </c>
      <c r="J18" s="6" t="s">
        <v>145</v>
      </c>
    </row>
    <row r="19" customFormat="false" ht="54.75" hidden="false" customHeight="true" outlineLevel="0" collapsed="false">
      <c r="A19" s="4" t="s">
        <v>146</v>
      </c>
      <c r="B19" s="4" t="s">
        <v>16</v>
      </c>
      <c r="C19" s="4" t="s">
        <v>147</v>
      </c>
      <c r="D19" s="4" t="s">
        <v>148</v>
      </c>
      <c r="E19" s="7" t="s">
        <v>22</v>
      </c>
      <c r="F19" s="12" t="n">
        <v>3</v>
      </c>
      <c r="G19" s="13" t="s">
        <v>75</v>
      </c>
      <c r="H19" s="4" t="s">
        <v>149</v>
      </c>
      <c r="I19" s="4" t="s">
        <v>150</v>
      </c>
      <c r="J19" s="4" t="s">
        <v>151</v>
      </c>
    </row>
    <row r="20" customFormat="false" ht="54.75" hidden="false" customHeight="true" outlineLevel="0" collapsed="false">
      <c r="A20" s="6" t="s">
        <v>152</v>
      </c>
      <c r="B20" s="6" t="s">
        <v>16</v>
      </c>
      <c r="C20" s="6" t="s">
        <v>153</v>
      </c>
      <c r="D20" s="6" t="s">
        <v>154</v>
      </c>
      <c r="E20" s="7" t="s">
        <v>22</v>
      </c>
      <c r="F20" s="14" t="n">
        <v>5</v>
      </c>
      <c r="G20" s="13" t="s">
        <v>75</v>
      </c>
      <c r="H20" s="6" t="s">
        <v>155</v>
      </c>
      <c r="I20" s="6" t="s">
        <v>156</v>
      </c>
      <c r="J20" s="6" t="s">
        <v>157</v>
      </c>
    </row>
    <row r="21" customFormat="false" ht="54.75" hidden="false" customHeight="true" outlineLevel="0" collapsed="false">
      <c r="A21" s="4" t="s">
        <v>158</v>
      </c>
      <c r="B21" s="4" t="s">
        <v>16</v>
      </c>
      <c r="C21" s="4" t="s">
        <v>159</v>
      </c>
      <c r="D21" s="4" t="s">
        <v>160</v>
      </c>
      <c r="E21" s="7" t="s">
        <v>22</v>
      </c>
      <c r="F21" s="12" t="n">
        <v>4</v>
      </c>
      <c r="G21" s="13" t="s">
        <v>75</v>
      </c>
      <c r="H21" s="4" t="s">
        <v>161</v>
      </c>
      <c r="I21" s="4" t="s">
        <v>162</v>
      </c>
      <c r="J21" s="4" t="s">
        <v>163</v>
      </c>
    </row>
    <row r="22" customFormat="false" ht="24.75" hidden="false" customHeight="true" outlineLevel="0" collapsed="false">
      <c r="A22" s="10" t="s">
        <v>164</v>
      </c>
      <c r="B22" s="10"/>
      <c r="C22" s="10"/>
      <c r="D22" s="10"/>
      <c r="E22" s="10"/>
      <c r="F22" s="10"/>
      <c r="G22" s="10"/>
      <c r="H22" s="10"/>
      <c r="I22" s="10"/>
      <c r="J22" s="10"/>
    </row>
    <row r="23" customFormat="false" ht="54.75" hidden="false" customHeight="true" outlineLevel="0" collapsed="false">
      <c r="A23" s="6" t="s">
        <v>165</v>
      </c>
      <c r="B23" s="6" t="s">
        <v>23</v>
      </c>
      <c r="C23" s="6" t="s">
        <v>166</v>
      </c>
      <c r="D23" s="6" t="s">
        <v>167</v>
      </c>
      <c r="E23" s="11" t="s">
        <v>74</v>
      </c>
      <c r="F23" s="14" t="n">
        <v>4</v>
      </c>
      <c r="G23" s="13" t="s">
        <v>75</v>
      </c>
      <c r="H23" s="6" t="s">
        <v>168</v>
      </c>
      <c r="I23" s="6" t="s">
        <v>169</v>
      </c>
      <c r="J23" s="6" t="s">
        <v>170</v>
      </c>
    </row>
    <row r="24" customFormat="false" ht="54.75" hidden="false" customHeight="true" outlineLevel="0" collapsed="false">
      <c r="A24" s="4" t="s">
        <v>171</v>
      </c>
      <c r="B24" s="4" t="s">
        <v>23</v>
      </c>
      <c r="C24" s="4" t="s">
        <v>172</v>
      </c>
      <c r="D24" s="4" t="s">
        <v>173</v>
      </c>
      <c r="E24" s="11" t="s">
        <v>74</v>
      </c>
      <c r="F24" s="12" t="n">
        <v>4</v>
      </c>
      <c r="G24" s="13" t="s">
        <v>75</v>
      </c>
      <c r="H24" s="4" t="s">
        <v>174</v>
      </c>
      <c r="I24" s="4" t="s">
        <v>175</v>
      </c>
      <c r="J24" s="4" t="s">
        <v>176</v>
      </c>
    </row>
    <row r="25" customFormat="false" ht="54.75" hidden="false" customHeight="true" outlineLevel="0" collapsed="false">
      <c r="A25" s="6" t="s">
        <v>177</v>
      </c>
      <c r="B25" s="6" t="s">
        <v>23</v>
      </c>
      <c r="C25" s="6" t="s">
        <v>178</v>
      </c>
      <c r="D25" s="6" t="s">
        <v>179</v>
      </c>
      <c r="E25" s="11" t="s">
        <v>74</v>
      </c>
      <c r="F25" s="14" t="n">
        <v>6</v>
      </c>
      <c r="G25" s="13" t="s">
        <v>75</v>
      </c>
      <c r="H25" s="6" t="s">
        <v>180</v>
      </c>
      <c r="I25" s="6" t="s">
        <v>181</v>
      </c>
      <c r="J25" s="6" t="s">
        <v>182</v>
      </c>
    </row>
    <row r="26" customFormat="false" ht="54.75" hidden="false" customHeight="true" outlineLevel="0" collapsed="false">
      <c r="A26" s="4" t="s">
        <v>183</v>
      </c>
      <c r="B26" s="4" t="s">
        <v>23</v>
      </c>
      <c r="C26" s="4" t="s">
        <v>184</v>
      </c>
      <c r="D26" s="4" t="s">
        <v>185</v>
      </c>
      <c r="E26" s="7" t="s">
        <v>22</v>
      </c>
      <c r="F26" s="12" t="n">
        <v>10</v>
      </c>
      <c r="G26" s="13" t="s">
        <v>75</v>
      </c>
      <c r="H26" s="4" t="s">
        <v>186</v>
      </c>
      <c r="I26" s="4" t="s">
        <v>187</v>
      </c>
      <c r="J26" s="4" t="s">
        <v>188</v>
      </c>
    </row>
    <row r="27" customFormat="false" ht="54.75" hidden="false" customHeight="true" outlineLevel="0" collapsed="false">
      <c r="A27" s="6" t="s">
        <v>189</v>
      </c>
      <c r="B27" s="6" t="s">
        <v>23</v>
      </c>
      <c r="C27" s="6" t="s">
        <v>190</v>
      </c>
      <c r="D27" s="6" t="s">
        <v>191</v>
      </c>
      <c r="E27" s="7" t="s">
        <v>22</v>
      </c>
      <c r="F27" s="14" t="n">
        <v>6</v>
      </c>
      <c r="G27" s="13" t="s">
        <v>75</v>
      </c>
      <c r="H27" s="6" t="s">
        <v>192</v>
      </c>
      <c r="I27" s="6" t="s">
        <v>193</v>
      </c>
      <c r="J27" s="6" t="s">
        <v>194</v>
      </c>
    </row>
    <row r="28" customFormat="false" ht="54.75" hidden="false" customHeight="true" outlineLevel="0" collapsed="false">
      <c r="A28" s="4" t="s">
        <v>195</v>
      </c>
      <c r="B28" s="4" t="s">
        <v>23</v>
      </c>
      <c r="C28" s="4" t="s">
        <v>196</v>
      </c>
      <c r="D28" s="4" t="s">
        <v>197</v>
      </c>
      <c r="E28" s="5" t="s">
        <v>15</v>
      </c>
      <c r="F28" s="12" t="n">
        <v>6</v>
      </c>
      <c r="G28" s="13" t="s">
        <v>75</v>
      </c>
      <c r="H28" s="4" t="s">
        <v>198</v>
      </c>
      <c r="I28" s="4" t="s">
        <v>199</v>
      </c>
      <c r="J28" s="4" t="s">
        <v>200</v>
      </c>
    </row>
    <row r="29" customFormat="false" ht="24.75" hidden="false" customHeight="true" outlineLevel="0" collapsed="false">
      <c r="A29" s="15" t="s">
        <v>201</v>
      </c>
      <c r="B29" s="15"/>
      <c r="C29" s="15"/>
      <c r="D29" s="15"/>
      <c r="E29" s="15"/>
      <c r="F29" s="15"/>
      <c r="G29" s="15"/>
      <c r="H29" s="15"/>
      <c r="I29" s="15"/>
      <c r="J29" s="15"/>
    </row>
    <row r="30" customFormat="false" ht="54.75" hidden="false" customHeight="true" outlineLevel="0" collapsed="false">
      <c r="A30" s="6" t="s">
        <v>202</v>
      </c>
      <c r="B30" s="6" t="s">
        <v>29</v>
      </c>
      <c r="C30" s="6" t="s">
        <v>203</v>
      </c>
      <c r="D30" s="6" t="s">
        <v>204</v>
      </c>
      <c r="E30" s="11" t="s">
        <v>74</v>
      </c>
      <c r="F30" s="14" t="n">
        <v>8</v>
      </c>
      <c r="G30" s="13" t="s">
        <v>75</v>
      </c>
      <c r="H30" s="6" t="s">
        <v>205</v>
      </c>
      <c r="I30" s="6" t="s">
        <v>206</v>
      </c>
      <c r="J30" s="6" t="s">
        <v>207</v>
      </c>
    </row>
    <row r="31" customFormat="false" ht="54.75" hidden="false" customHeight="true" outlineLevel="0" collapsed="false">
      <c r="A31" s="4" t="s">
        <v>208</v>
      </c>
      <c r="B31" s="4" t="s">
        <v>29</v>
      </c>
      <c r="C31" s="4" t="s">
        <v>209</v>
      </c>
      <c r="D31" s="4" t="s">
        <v>210</v>
      </c>
      <c r="E31" s="7" t="s">
        <v>22</v>
      </c>
      <c r="F31" s="12" t="n">
        <v>8</v>
      </c>
      <c r="G31" s="13" t="s">
        <v>75</v>
      </c>
      <c r="H31" s="4" t="s">
        <v>211</v>
      </c>
      <c r="I31" s="4" t="s">
        <v>212</v>
      </c>
      <c r="J31" s="4" t="s">
        <v>213</v>
      </c>
    </row>
    <row r="32" customFormat="false" ht="54.75" hidden="false" customHeight="true" outlineLevel="0" collapsed="false">
      <c r="A32" s="6" t="s">
        <v>214</v>
      </c>
      <c r="B32" s="6" t="s">
        <v>29</v>
      </c>
      <c r="C32" s="6" t="s">
        <v>215</v>
      </c>
      <c r="D32" s="6" t="s">
        <v>216</v>
      </c>
      <c r="E32" s="7" t="s">
        <v>22</v>
      </c>
      <c r="F32" s="14" t="n">
        <v>6</v>
      </c>
      <c r="G32" s="13" t="s">
        <v>75</v>
      </c>
      <c r="H32" s="6" t="s">
        <v>174</v>
      </c>
      <c r="I32" s="6" t="s">
        <v>217</v>
      </c>
      <c r="J32" s="6" t="s">
        <v>218</v>
      </c>
    </row>
    <row r="33" customFormat="false" ht="54.75" hidden="false" customHeight="true" outlineLevel="0" collapsed="false">
      <c r="A33" s="4" t="s">
        <v>219</v>
      </c>
      <c r="B33" s="4" t="s">
        <v>29</v>
      </c>
      <c r="C33" s="4" t="s">
        <v>220</v>
      </c>
      <c r="D33" s="4" t="s">
        <v>221</v>
      </c>
      <c r="E33" s="7" t="s">
        <v>22</v>
      </c>
      <c r="F33" s="12" t="n">
        <v>6</v>
      </c>
      <c r="G33" s="13" t="s">
        <v>75</v>
      </c>
      <c r="H33" s="4" t="s">
        <v>222</v>
      </c>
      <c r="I33" s="4" t="s">
        <v>223</v>
      </c>
      <c r="J33" s="4" t="s">
        <v>224</v>
      </c>
    </row>
    <row r="34" customFormat="false" ht="54.75" hidden="false" customHeight="true" outlineLevel="0" collapsed="false">
      <c r="A34" s="6" t="s">
        <v>225</v>
      </c>
      <c r="B34" s="6" t="s">
        <v>29</v>
      </c>
      <c r="C34" s="6" t="s">
        <v>226</v>
      </c>
      <c r="D34" s="6" t="s">
        <v>227</v>
      </c>
      <c r="E34" s="7" t="s">
        <v>22</v>
      </c>
      <c r="F34" s="14" t="n">
        <v>6</v>
      </c>
      <c r="G34" s="13" t="s">
        <v>75</v>
      </c>
      <c r="H34" s="6" t="s">
        <v>228</v>
      </c>
      <c r="I34" s="6" t="s">
        <v>229</v>
      </c>
      <c r="J34" s="6" t="s">
        <v>230</v>
      </c>
    </row>
    <row r="35" customFormat="false" ht="54.75" hidden="false" customHeight="true" outlineLevel="0" collapsed="false">
      <c r="A35" s="4" t="s">
        <v>231</v>
      </c>
      <c r="B35" s="4" t="s">
        <v>29</v>
      </c>
      <c r="C35" s="4" t="s">
        <v>232</v>
      </c>
      <c r="D35" s="4" t="s">
        <v>233</v>
      </c>
      <c r="E35" s="8" t="s">
        <v>47</v>
      </c>
      <c r="F35" s="12" t="n">
        <v>3</v>
      </c>
      <c r="G35" s="13" t="s">
        <v>75</v>
      </c>
      <c r="H35" s="4" t="s">
        <v>222</v>
      </c>
      <c r="I35" s="4" t="s">
        <v>234</v>
      </c>
      <c r="J35" s="4" t="s">
        <v>235</v>
      </c>
    </row>
    <row r="36" customFormat="false" ht="54.75" hidden="false" customHeight="true" outlineLevel="0" collapsed="false">
      <c r="A36" s="6" t="s">
        <v>236</v>
      </c>
      <c r="B36" s="6" t="s">
        <v>29</v>
      </c>
      <c r="C36" s="6" t="s">
        <v>237</v>
      </c>
      <c r="D36" s="6" t="s">
        <v>238</v>
      </c>
      <c r="E36" s="5" t="s">
        <v>15</v>
      </c>
      <c r="F36" s="14" t="n">
        <v>4</v>
      </c>
      <c r="G36" s="13" t="s">
        <v>75</v>
      </c>
      <c r="H36" s="6" t="s">
        <v>174</v>
      </c>
      <c r="I36" s="6" t="s">
        <v>239</v>
      </c>
      <c r="J36" s="6" t="s">
        <v>240</v>
      </c>
    </row>
    <row r="37" customFormat="false" ht="24.75" hidden="false" customHeight="true" outlineLevel="0" collapsed="false">
      <c r="A37" s="15" t="s">
        <v>241</v>
      </c>
      <c r="B37" s="15"/>
      <c r="C37" s="15"/>
      <c r="D37" s="15"/>
      <c r="E37" s="15"/>
      <c r="F37" s="15"/>
      <c r="G37" s="15"/>
      <c r="H37" s="15"/>
      <c r="I37" s="15"/>
      <c r="J37" s="15"/>
    </row>
    <row r="38" customFormat="false" ht="54.75" hidden="false" customHeight="true" outlineLevel="0" collapsed="false">
      <c r="A38" s="4" t="s">
        <v>242</v>
      </c>
      <c r="B38" s="4" t="s">
        <v>35</v>
      </c>
      <c r="C38" s="4" t="s">
        <v>243</v>
      </c>
      <c r="D38" s="4" t="s">
        <v>244</v>
      </c>
      <c r="E38" s="7" t="s">
        <v>22</v>
      </c>
      <c r="F38" s="12" t="n">
        <v>4</v>
      </c>
      <c r="G38" s="13" t="s">
        <v>75</v>
      </c>
      <c r="H38" s="4" t="s">
        <v>174</v>
      </c>
      <c r="I38" s="4" t="s">
        <v>245</v>
      </c>
      <c r="J38" s="4" t="s">
        <v>246</v>
      </c>
    </row>
    <row r="39" customFormat="false" ht="54.75" hidden="false" customHeight="true" outlineLevel="0" collapsed="false">
      <c r="A39" s="6" t="s">
        <v>247</v>
      </c>
      <c r="B39" s="6" t="s">
        <v>35</v>
      </c>
      <c r="C39" s="6" t="s">
        <v>248</v>
      </c>
      <c r="D39" s="6" t="s">
        <v>249</v>
      </c>
      <c r="E39" s="7" t="s">
        <v>22</v>
      </c>
      <c r="F39" s="14" t="n">
        <v>8</v>
      </c>
      <c r="G39" s="13" t="s">
        <v>75</v>
      </c>
      <c r="H39" s="6" t="s">
        <v>250</v>
      </c>
      <c r="I39" s="6" t="s">
        <v>251</v>
      </c>
      <c r="J39" s="6" t="s">
        <v>252</v>
      </c>
    </row>
    <row r="40" customFormat="false" ht="54.75" hidden="false" customHeight="true" outlineLevel="0" collapsed="false">
      <c r="A40" s="4" t="s">
        <v>253</v>
      </c>
      <c r="B40" s="4" t="s">
        <v>35</v>
      </c>
      <c r="C40" s="4" t="s">
        <v>254</v>
      </c>
      <c r="D40" s="4" t="s">
        <v>255</v>
      </c>
      <c r="E40" s="7" t="s">
        <v>22</v>
      </c>
      <c r="F40" s="12" t="n">
        <v>6</v>
      </c>
      <c r="G40" s="13" t="s">
        <v>75</v>
      </c>
      <c r="H40" s="4" t="s">
        <v>174</v>
      </c>
      <c r="I40" s="4" t="s">
        <v>256</v>
      </c>
      <c r="J40" s="4" t="s">
        <v>257</v>
      </c>
    </row>
    <row r="41" customFormat="false" ht="54.75" hidden="false" customHeight="true" outlineLevel="0" collapsed="false">
      <c r="A41" s="6" t="s">
        <v>258</v>
      </c>
      <c r="B41" s="6" t="s">
        <v>35</v>
      </c>
      <c r="C41" s="6" t="s">
        <v>259</v>
      </c>
      <c r="D41" s="6" t="s">
        <v>260</v>
      </c>
      <c r="E41" s="5" t="s">
        <v>15</v>
      </c>
      <c r="F41" s="14" t="n">
        <v>8</v>
      </c>
      <c r="G41" s="13" t="s">
        <v>75</v>
      </c>
      <c r="H41" s="6" t="s">
        <v>261</v>
      </c>
      <c r="I41" s="6" t="s">
        <v>262</v>
      </c>
      <c r="J41" s="6" t="s">
        <v>263</v>
      </c>
    </row>
    <row r="42" customFormat="false" ht="54.75" hidden="false" customHeight="true" outlineLevel="0" collapsed="false">
      <c r="A42" s="4" t="s">
        <v>264</v>
      </c>
      <c r="B42" s="4" t="s">
        <v>35</v>
      </c>
      <c r="C42" s="4" t="s">
        <v>265</v>
      </c>
      <c r="D42" s="4" t="s">
        <v>266</v>
      </c>
      <c r="E42" s="5" t="s">
        <v>15</v>
      </c>
      <c r="F42" s="12" t="n">
        <v>4</v>
      </c>
      <c r="G42" s="13" t="s">
        <v>75</v>
      </c>
      <c r="H42" s="4" t="s">
        <v>267</v>
      </c>
      <c r="I42" s="4" t="s">
        <v>268</v>
      </c>
      <c r="J42" s="4" t="s">
        <v>269</v>
      </c>
    </row>
    <row r="43" customFormat="false" ht="54.75" hidden="false" customHeight="true" outlineLevel="0" collapsed="false">
      <c r="A43" s="6" t="s">
        <v>270</v>
      </c>
      <c r="B43" s="6" t="s">
        <v>35</v>
      </c>
      <c r="C43" s="6" t="s">
        <v>271</v>
      </c>
      <c r="D43" s="6" t="s">
        <v>272</v>
      </c>
      <c r="E43" s="8" t="s">
        <v>47</v>
      </c>
      <c r="F43" s="14" t="n">
        <v>2</v>
      </c>
      <c r="G43" s="13" t="s">
        <v>75</v>
      </c>
      <c r="H43" s="6" t="s">
        <v>273</v>
      </c>
      <c r="I43" s="6" t="s">
        <v>274</v>
      </c>
      <c r="J43" s="6" t="s">
        <v>275</v>
      </c>
    </row>
    <row r="44" customFormat="false" ht="24.75" hidden="false" customHeight="true" outlineLevel="0" collapsed="false">
      <c r="A44" s="10" t="s">
        <v>276</v>
      </c>
      <c r="B44" s="10"/>
      <c r="C44" s="10"/>
      <c r="D44" s="10"/>
      <c r="E44" s="10"/>
      <c r="F44" s="10"/>
      <c r="G44" s="10"/>
      <c r="H44" s="10"/>
      <c r="I44" s="10"/>
      <c r="J44" s="10"/>
    </row>
    <row r="45" customFormat="false" ht="54.75" hidden="false" customHeight="true" outlineLevel="0" collapsed="false">
      <c r="A45" s="4" t="s">
        <v>277</v>
      </c>
      <c r="B45" s="4" t="s">
        <v>41</v>
      </c>
      <c r="C45" s="4" t="s">
        <v>278</v>
      </c>
      <c r="D45" s="4" t="s">
        <v>279</v>
      </c>
      <c r="E45" s="7" t="s">
        <v>22</v>
      </c>
      <c r="F45" s="12" t="n">
        <v>6</v>
      </c>
      <c r="G45" s="13" t="s">
        <v>75</v>
      </c>
      <c r="H45" s="4" t="s">
        <v>280</v>
      </c>
      <c r="I45" s="4" t="s">
        <v>281</v>
      </c>
      <c r="J45" s="4" t="s">
        <v>282</v>
      </c>
    </row>
    <row r="46" customFormat="false" ht="54.75" hidden="false" customHeight="true" outlineLevel="0" collapsed="false">
      <c r="A46" s="6" t="s">
        <v>283</v>
      </c>
      <c r="B46" s="6" t="s">
        <v>41</v>
      </c>
      <c r="C46" s="6" t="s">
        <v>284</v>
      </c>
      <c r="D46" s="6" t="s">
        <v>285</v>
      </c>
      <c r="E46" s="5" t="s">
        <v>15</v>
      </c>
      <c r="F46" s="14" t="n">
        <v>4</v>
      </c>
      <c r="G46" s="13" t="s">
        <v>75</v>
      </c>
      <c r="H46" s="6" t="s">
        <v>286</v>
      </c>
      <c r="I46" s="6" t="s">
        <v>287</v>
      </c>
      <c r="J46" s="6" t="s">
        <v>288</v>
      </c>
    </row>
    <row r="47" customFormat="false" ht="54.75" hidden="false" customHeight="true" outlineLevel="0" collapsed="false">
      <c r="A47" s="4" t="s">
        <v>289</v>
      </c>
      <c r="B47" s="4" t="s">
        <v>41</v>
      </c>
      <c r="C47" s="4" t="s">
        <v>290</v>
      </c>
      <c r="D47" s="4" t="s">
        <v>291</v>
      </c>
      <c r="E47" s="5" t="s">
        <v>15</v>
      </c>
      <c r="F47" s="12" t="n">
        <v>6</v>
      </c>
      <c r="G47" s="13" t="s">
        <v>75</v>
      </c>
      <c r="H47" s="4" t="s">
        <v>292</v>
      </c>
      <c r="I47" s="4" t="s">
        <v>293</v>
      </c>
      <c r="J47" s="4" t="s">
        <v>294</v>
      </c>
    </row>
    <row r="48" customFormat="false" ht="54.75" hidden="false" customHeight="true" outlineLevel="0" collapsed="false">
      <c r="A48" s="6" t="s">
        <v>295</v>
      </c>
      <c r="B48" s="6" t="s">
        <v>41</v>
      </c>
      <c r="C48" s="6" t="s">
        <v>296</v>
      </c>
      <c r="D48" s="6" t="s">
        <v>297</v>
      </c>
      <c r="E48" s="7" t="s">
        <v>22</v>
      </c>
      <c r="F48" s="14" t="n">
        <v>8</v>
      </c>
      <c r="G48" s="13" t="s">
        <v>75</v>
      </c>
      <c r="H48" s="6" t="s">
        <v>298</v>
      </c>
      <c r="I48" s="6" t="s">
        <v>299</v>
      </c>
      <c r="J48" s="6" t="s">
        <v>300</v>
      </c>
    </row>
    <row r="49" customFormat="false" ht="54.75" hidden="false" customHeight="true" outlineLevel="0" collapsed="false">
      <c r="A49" s="4" t="s">
        <v>301</v>
      </c>
      <c r="B49" s="4" t="s">
        <v>41</v>
      </c>
      <c r="C49" s="4" t="s">
        <v>302</v>
      </c>
      <c r="D49" s="4" t="s">
        <v>303</v>
      </c>
      <c r="E49" s="5" t="s">
        <v>15</v>
      </c>
      <c r="F49" s="12" t="n">
        <v>6</v>
      </c>
      <c r="G49" s="13" t="s">
        <v>75</v>
      </c>
      <c r="H49" s="4" t="s">
        <v>304</v>
      </c>
      <c r="I49" s="4" t="s">
        <v>305</v>
      </c>
      <c r="J49" s="4" t="s">
        <v>306</v>
      </c>
    </row>
    <row r="50" customFormat="false" ht="54.75" hidden="false" customHeight="true" outlineLevel="0" collapsed="false">
      <c r="A50" s="6" t="s">
        <v>307</v>
      </c>
      <c r="B50" s="6" t="s">
        <v>41</v>
      </c>
      <c r="C50" s="6" t="s">
        <v>308</v>
      </c>
      <c r="D50" s="6" t="s">
        <v>309</v>
      </c>
      <c r="E50" s="5" t="s">
        <v>15</v>
      </c>
      <c r="F50" s="14" t="n">
        <v>4</v>
      </c>
      <c r="G50" s="13" t="s">
        <v>75</v>
      </c>
      <c r="H50" s="6" t="s">
        <v>310</v>
      </c>
      <c r="I50" s="6" t="s">
        <v>311</v>
      </c>
      <c r="J50" s="6" t="s">
        <v>312</v>
      </c>
    </row>
    <row r="51" customFormat="false" ht="24.75" hidden="false" customHeight="true" outlineLevel="0" collapsed="false">
      <c r="A51" s="10" t="s">
        <v>313</v>
      </c>
      <c r="B51" s="10"/>
      <c r="C51" s="10"/>
      <c r="D51" s="10"/>
      <c r="E51" s="10"/>
      <c r="F51" s="10"/>
      <c r="G51" s="10"/>
      <c r="H51" s="10"/>
      <c r="I51" s="10"/>
      <c r="J51" s="10"/>
    </row>
    <row r="52" customFormat="false" ht="54.75" hidden="false" customHeight="true" outlineLevel="0" collapsed="false">
      <c r="A52" s="4" t="s">
        <v>314</v>
      </c>
      <c r="B52" s="4" t="s">
        <v>48</v>
      </c>
      <c r="C52" s="4" t="s">
        <v>315</v>
      </c>
      <c r="D52" s="4" t="s">
        <v>316</v>
      </c>
      <c r="E52" s="7" t="s">
        <v>22</v>
      </c>
      <c r="F52" s="12" t="n">
        <v>6</v>
      </c>
      <c r="G52" s="13" t="s">
        <v>75</v>
      </c>
      <c r="H52" s="4" t="s">
        <v>317</v>
      </c>
      <c r="I52" s="4" t="s">
        <v>318</v>
      </c>
      <c r="J52" s="4" t="s">
        <v>319</v>
      </c>
    </row>
    <row r="53" customFormat="false" ht="54.75" hidden="false" customHeight="true" outlineLevel="0" collapsed="false">
      <c r="A53" s="6" t="s">
        <v>320</v>
      </c>
      <c r="B53" s="6" t="s">
        <v>48</v>
      </c>
      <c r="C53" s="6" t="s">
        <v>321</v>
      </c>
      <c r="D53" s="6" t="s">
        <v>322</v>
      </c>
      <c r="E53" s="7" t="s">
        <v>22</v>
      </c>
      <c r="F53" s="14" t="n">
        <v>8</v>
      </c>
      <c r="G53" s="13" t="s">
        <v>75</v>
      </c>
      <c r="H53" s="6" t="s">
        <v>323</v>
      </c>
      <c r="I53" s="6" t="s">
        <v>324</v>
      </c>
      <c r="J53" s="6" t="s">
        <v>325</v>
      </c>
    </row>
    <row r="54" customFormat="false" ht="54.75" hidden="false" customHeight="true" outlineLevel="0" collapsed="false">
      <c r="A54" s="4" t="s">
        <v>326</v>
      </c>
      <c r="B54" s="4" t="s">
        <v>48</v>
      </c>
      <c r="C54" s="4" t="s">
        <v>327</v>
      </c>
      <c r="D54" s="4" t="s">
        <v>328</v>
      </c>
      <c r="E54" s="5" t="s">
        <v>15</v>
      </c>
      <c r="F54" s="12" t="n">
        <v>4</v>
      </c>
      <c r="G54" s="13" t="s">
        <v>75</v>
      </c>
      <c r="H54" s="4" t="s">
        <v>329</v>
      </c>
      <c r="I54" s="4" t="s">
        <v>330</v>
      </c>
      <c r="J54" s="4" t="s">
        <v>331</v>
      </c>
    </row>
    <row r="55" customFormat="false" ht="54.75" hidden="false" customHeight="true" outlineLevel="0" collapsed="false">
      <c r="A55" s="6" t="s">
        <v>332</v>
      </c>
      <c r="B55" s="6" t="s">
        <v>48</v>
      </c>
      <c r="C55" s="6" t="s">
        <v>333</v>
      </c>
      <c r="D55" s="6" t="s">
        <v>334</v>
      </c>
      <c r="E55" s="5" t="s">
        <v>15</v>
      </c>
      <c r="F55" s="14" t="n">
        <v>4</v>
      </c>
      <c r="G55" s="13" t="s">
        <v>75</v>
      </c>
      <c r="H55" s="6" t="s">
        <v>329</v>
      </c>
      <c r="I55" s="6" t="s">
        <v>335</v>
      </c>
      <c r="J55" s="6" t="s">
        <v>336</v>
      </c>
    </row>
    <row r="56" customFormat="false" ht="54.75" hidden="false" customHeight="true" outlineLevel="0" collapsed="false">
      <c r="A56" s="4" t="s">
        <v>337</v>
      </c>
      <c r="B56" s="4" t="s">
        <v>48</v>
      </c>
      <c r="C56" s="4" t="s">
        <v>338</v>
      </c>
      <c r="D56" s="4" t="s">
        <v>339</v>
      </c>
      <c r="E56" s="7" t="s">
        <v>22</v>
      </c>
      <c r="F56" s="12" t="n">
        <v>4</v>
      </c>
      <c r="G56" s="13" t="s">
        <v>75</v>
      </c>
      <c r="H56" s="4" t="s">
        <v>329</v>
      </c>
      <c r="I56" s="4" t="s">
        <v>340</v>
      </c>
      <c r="J56" s="4" t="s">
        <v>341</v>
      </c>
    </row>
    <row r="57" customFormat="false" ht="54.75" hidden="false" customHeight="true" outlineLevel="0" collapsed="false">
      <c r="A57" s="6" t="s">
        <v>342</v>
      </c>
      <c r="B57" s="6" t="s">
        <v>48</v>
      </c>
      <c r="C57" s="6" t="s">
        <v>343</v>
      </c>
      <c r="D57" s="6" t="s">
        <v>344</v>
      </c>
      <c r="E57" s="11" t="s">
        <v>74</v>
      </c>
      <c r="F57" s="14" t="n">
        <v>3</v>
      </c>
      <c r="G57" s="13" t="s">
        <v>75</v>
      </c>
      <c r="H57" s="6" t="s">
        <v>329</v>
      </c>
      <c r="I57" s="6" t="s">
        <v>345</v>
      </c>
      <c r="J57" s="6" t="s">
        <v>346</v>
      </c>
    </row>
    <row r="58" customFormat="false" ht="24.75" hidden="false" customHeight="true" outlineLevel="0" collapsed="false">
      <c r="A58" s="10" t="s">
        <v>347</v>
      </c>
      <c r="B58" s="10"/>
      <c r="C58" s="10"/>
      <c r="D58" s="10"/>
      <c r="E58" s="10"/>
      <c r="F58" s="10"/>
      <c r="G58" s="10"/>
      <c r="H58" s="10"/>
      <c r="I58" s="10"/>
      <c r="J58" s="10"/>
    </row>
    <row r="59" customFormat="false" ht="54.75" hidden="false" customHeight="true" outlineLevel="0" collapsed="false">
      <c r="A59" s="4" t="s">
        <v>348</v>
      </c>
      <c r="B59" s="4" t="s">
        <v>54</v>
      </c>
      <c r="C59" s="4" t="s">
        <v>349</v>
      </c>
      <c r="D59" s="4" t="s">
        <v>350</v>
      </c>
      <c r="E59" s="11" t="s">
        <v>74</v>
      </c>
      <c r="F59" s="12" t="n">
        <v>10</v>
      </c>
      <c r="G59" s="13" t="s">
        <v>75</v>
      </c>
      <c r="H59" s="4" t="s">
        <v>329</v>
      </c>
      <c r="I59" s="4" t="s">
        <v>351</v>
      </c>
      <c r="J59" s="4" t="s">
        <v>352</v>
      </c>
    </row>
    <row r="60" customFormat="false" ht="54.75" hidden="false" customHeight="true" outlineLevel="0" collapsed="false">
      <c r="A60" s="6" t="s">
        <v>353</v>
      </c>
      <c r="B60" s="6" t="s">
        <v>54</v>
      </c>
      <c r="C60" s="6" t="s">
        <v>354</v>
      </c>
      <c r="D60" s="6" t="s">
        <v>355</v>
      </c>
      <c r="E60" s="11" t="s">
        <v>74</v>
      </c>
      <c r="F60" s="14" t="n">
        <v>10</v>
      </c>
      <c r="G60" s="13" t="s">
        <v>75</v>
      </c>
      <c r="H60" s="6" t="s">
        <v>329</v>
      </c>
      <c r="I60" s="6" t="s">
        <v>356</v>
      </c>
      <c r="J60" s="6" t="s">
        <v>357</v>
      </c>
    </row>
    <row r="61" customFormat="false" ht="54.75" hidden="false" customHeight="true" outlineLevel="0" collapsed="false">
      <c r="A61" s="4" t="s">
        <v>358</v>
      </c>
      <c r="B61" s="4" t="s">
        <v>54</v>
      </c>
      <c r="C61" s="4" t="s">
        <v>359</v>
      </c>
      <c r="D61" s="4" t="s">
        <v>360</v>
      </c>
      <c r="E61" s="7" t="s">
        <v>22</v>
      </c>
      <c r="F61" s="12" t="n">
        <v>8</v>
      </c>
      <c r="G61" s="13" t="s">
        <v>75</v>
      </c>
      <c r="H61" s="4" t="s">
        <v>329</v>
      </c>
      <c r="I61" s="4" t="s">
        <v>361</v>
      </c>
      <c r="J61" s="4" t="s">
        <v>362</v>
      </c>
    </row>
    <row r="62" customFormat="false" ht="54.75" hidden="false" customHeight="true" outlineLevel="0" collapsed="false">
      <c r="A62" s="6" t="s">
        <v>363</v>
      </c>
      <c r="B62" s="6" t="s">
        <v>54</v>
      </c>
      <c r="C62" s="6" t="s">
        <v>364</v>
      </c>
      <c r="D62" s="6" t="s">
        <v>365</v>
      </c>
      <c r="E62" s="7" t="s">
        <v>22</v>
      </c>
      <c r="F62" s="14" t="n">
        <v>6</v>
      </c>
      <c r="G62" s="13" t="s">
        <v>75</v>
      </c>
      <c r="H62" s="6" t="s">
        <v>366</v>
      </c>
      <c r="I62" s="6" t="s">
        <v>367</v>
      </c>
      <c r="J62" s="6" t="s">
        <v>368</v>
      </c>
    </row>
    <row r="63" customFormat="false" ht="54.75" hidden="false" customHeight="true" outlineLevel="0" collapsed="false">
      <c r="A63" s="4" t="s">
        <v>369</v>
      </c>
      <c r="B63" s="4" t="s">
        <v>54</v>
      </c>
      <c r="C63" s="4" t="s">
        <v>370</v>
      </c>
      <c r="D63" s="4" t="s">
        <v>371</v>
      </c>
      <c r="E63" s="5" t="s">
        <v>15</v>
      </c>
      <c r="F63" s="12" t="n">
        <v>6</v>
      </c>
      <c r="G63" s="13" t="s">
        <v>75</v>
      </c>
      <c r="H63" s="4" t="s">
        <v>82</v>
      </c>
      <c r="I63" s="4" t="s">
        <v>372</v>
      </c>
      <c r="J63" s="4" t="s">
        <v>373</v>
      </c>
    </row>
    <row r="64" customFormat="false" ht="54.75" hidden="false" customHeight="true" outlineLevel="0" collapsed="false">
      <c r="A64" s="6" t="s">
        <v>374</v>
      </c>
      <c r="B64" s="6" t="s">
        <v>54</v>
      </c>
      <c r="C64" s="6" t="s">
        <v>375</v>
      </c>
      <c r="D64" s="6" t="s">
        <v>376</v>
      </c>
      <c r="E64" s="11" t="s">
        <v>74</v>
      </c>
      <c r="F64" s="14" t="n">
        <v>4</v>
      </c>
      <c r="G64" s="13" t="s">
        <v>75</v>
      </c>
      <c r="H64" s="6" t="s">
        <v>329</v>
      </c>
      <c r="I64" s="6" t="s">
        <v>340</v>
      </c>
      <c r="J64" s="6" t="s">
        <v>377</v>
      </c>
    </row>
    <row r="65" customFormat="false" ht="54.75" hidden="false" customHeight="true" outlineLevel="0" collapsed="false">
      <c r="A65" s="4" t="s">
        <v>378</v>
      </c>
      <c r="B65" s="4" t="s">
        <v>54</v>
      </c>
      <c r="C65" s="4" t="s">
        <v>379</v>
      </c>
      <c r="D65" s="4" t="s">
        <v>380</v>
      </c>
      <c r="E65" s="7" t="s">
        <v>22</v>
      </c>
      <c r="F65" s="12" t="n">
        <v>6</v>
      </c>
      <c r="G65" s="13" t="s">
        <v>75</v>
      </c>
      <c r="H65" s="4" t="s">
        <v>329</v>
      </c>
      <c r="I65" s="4" t="s">
        <v>381</v>
      </c>
      <c r="J65" s="4" t="s">
        <v>382</v>
      </c>
    </row>
    <row r="67" customFormat="false" ht="15" hidden="false" customHeight="false" outlineLevel="0" collapsed="false">
      <c r="E67" s="16" t="s">
        <v>383</v>
      </c>
      <c r="F67" s="17" t="n">
        <f aca="false">SUM(F5:F65)</f>
        <v>305</v>
      </c>
    </row>
  </sheetData>
  <mergeCells count="9">
    <mergeCell ref="A1:J1"/>
    <mergeCell ref="A5:J5"/>
    <mergeCell ref="A14:J14"/>
    <mergeCell ref="A22:J22"/>
    <mergeCell ref="A29:J29"/>
    <mergeCell ref="A37:J37"/>
    <mergeCell ref="A44:J44"/>
    <mergeCell ref="A51:J51"/>
    <mergeCell ref="A58:J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9" t="s">
        <v>384</v>
      </c>
      <c r="B1" s="9"/>
      <c r="C1" s="9"/>
      <c r="D1" s="9"/>
      <c r="E1" s="9"/>
      <c r="F1" s="9"/>
    </row>
    <row r="3" customFormat="false" ht="26.85" hidden="false" customHeight="false" outlineLevel="0" collapsed="false">
      <c r="A3" s="3" t="s">
        <v>385</v>
      </c>
      <c r="B3" s="3" t="s">
        <v>386</v>
      </c>
      <c r="C3" s="3" t="s">
        <v>387</v>
      </c>
      <c r="D3" s="3" t="s">
        <v>388</v>
      </c>
      <c r="E3" s="3" t="s">
        <v>389</v>
      </c>
      <c r="F3" s="3" t="s">
        <v>69</v>
      </c>
    </row>
    <row r="4" customFormat="false" ht="24.75" hidden="false" customHeight="true" outlineLevel="0" collapsed="false">
      <c r="A4" s="4" t="s">
        <v>390</v>
      </c>
      <c r="B4" s="4" t="s">
        <v>391</v>
      </c>
      <c r="C4" s="4" t="s">
        <v>392</v>
      </c>
      <c r="D4" s="4" t="s">
        <v>393</v>
      </c>
      <c r="E4" s="4" t="s">
        <v>9</v>
      </c>
      <c r="F4" s="4" t="s">
        <v>394</v>
      </c>
    </row>
    <row r="5" customFormat="false" ht="24.75" hidden="false" customHeight="true" outlineLevel="0" collapsed="false">
      <c r="A5" s="6" t="s">
        <v>390</v>
      </c>
      <c r="B5" s="6" t="s">
        <v>395</v>
      </c>
      <c r="C5" s="6" t="s">
        <v>396</v>
      </c>
      <c r="D5" s="6" t="s">
        <v>397</v>
      </c>
      <c r="E5" s="6" t="s">
        <v>9</v>
      </c>
      <c r="F5" s="6" t="s">
        <v>394</v>
      </c>
    </row>
    <row r="6" customFormat="false" ht="24.75" hidden="false" customHeight="true" outlineLevel="0" collapsed="false">
      <c r="A6" s="4" t="s">
        <v>390</v>
      </c>
      <c r="B6" s="4" t="s">
        <v>398</v>
      </c>
      <c r="C6" s="4" t="s">
        <v>399</v>
      </c>
      <c r="D6" s="4" t="s">
        <v>400</v>
      </c>
      <c r="E6" s="4" t="s">
        <v>9</v>
      </c>
      <c r="F6" s="4" t="s">
        <v>401</v>
      </c>
    </row>
    <row r="7" customFormat="false" ht="24.75" hidden="false" customHeight="true" outlineLevel="0" collapsed="false">
      <c r="A7" s="6" t="s">
        <v>402</v>
      </c>
      <c r="B7" s="6" t="s">
        <v>403</v>
      </c>
      <c r="C7" s="6" t="s">
        <v>404</v>
      </c>
      <c r="D7" s="6" t="s">
        <v>405</v>
      </c>
      <c r="E7" s="6" t="s">
        <v>9</v>
      </c>
      <c r="F7" s="6" t="s">
        <v>406</v>
      </c>
    </row>
    <row r="8" customFormat="false" ht="24.75" hidden="false" customHeight="true" outlineLevel="0" collapsed="false">
      <c r="A8" s="4" t="s">
        <v>402</v>
      </c>
      <c r="B8" s="4" t="s">
        <v>407</v>
      </c>
      <c r="C8" s="4" t="s">
        <v>408</v>
      </c>
      <c r="D8" s="4" t="s">
        <v>409</v>
      </c>
      <c r="E8" s="4" t="s">
        <v>16</v>
      </c>
      <c r="F8" s="4" t="s">
        <v>410</v>
      </c>
    </row>
    <row r="9" customFormat="false" ht="24.75" hidden="false" customHeight="true" outlineLevel="0" collapsed="false">
      <c r="A9" s="6" t="s">
        <v>411</v>
      </c>
      <c r="B9" s="6" t="s">
        <v>412</v>
      </c>
      <c r="C9" s="6" t="s">
        <v>413</v>
      </c>
      <c r="D9" s="6" t="s">
        <v>414</v>
      </c>
      <c r="E9" s="6" t="s">
        <v>16</v>
      </c>
      <c r="F9" s="6" t="s">
        <v>415</v>
      </c>
    </row>
    <row r="10" customFormat="false" ht="24.75" hidden="false" customHeight="true" outlineLevel="0" collapsed="false">
      <c r="A10" s="4" t="s">
        <v>411</v>
      </c>
      <c r="B10" s="4" t="s">
        <v>416</v>
      </c>
      <c r="C10" s="4" t="s">
        <v>417</v>
      </c>
      <c r="D10" s="4" t="s">
        <v>418</v>
      </c>
      <c r="E10" s="4" t="s">
        <v>23</v>
      </c>
      <c r="F10" s="4" t="s">
        <v>419</v>
      </c>
    </row>
    <row r="11" customFormat="false" ht="24.75" hidden="false" customHeight="true" outlineLevel="0" collapsed="false">
      <c r="A11" s="6" t="s">
        <v>411</v>
      </c>
      <c r="B11" s="6" t="s">
        <v>420</v>
      </c>
      <c r="C11" s="6" t="s">
        <v>421</v>
      </c>
      <c r="D11" s="6" t="s">
        <v>422</v>
      </c>
      <c r="E11" s="6" t="s">
        <v>23</v>
      </c>
      <c r="F11" s="6" t="s">
        <v>423</v>
      </c>
    </row>
    <row r="12" customFormat="false" ht="24.75" hidden="false" customHeight="true" outlineLevel="0" collapsed="false">
      <c r="A12" s="4" t="s">
        <v>424</v>
      </c>
      <c r="B12" s="4" t="s">
        <v>425</v>
      </c>
      <c r="C12" s="4" t="s">
        <v>426</v>
      </c>
      <c r="D12" s="4" t="s">
        <v>427</v>
      </c>
      <c r="E12" s="4" t="s">
        <v>9</v>
      </c>
      <c r="F12" s="4" t="s">
        <v>394</v>
      </c>
    </row>
    <row r="13" customFormat="false" ht="24.75" hidden="false" customHeight="true" outlineLevel="0" collapsed="false">
      <c r="A13" s="6" t="s">
        <v>424</v>
      </c>
      <c r="B13" s="6" t="s">
        <v>428</v>
      </c>
      <c r="C13" s="6" t="s">
        <v>429</v>
      </c>
      <c r="D13" s="6" t="s">
        <v>430</v>
      </c>
      <c r="E13" s="6" t="s">
        <v>9</v>
      </c>
      <c r="F13" s="6" t="s">
        <v>431</v>
      </c>
    </row>
    <row r="14" customFormat="false" ht="24.75" hidden="false" customHeight="true" outlineLevel="0" collapsed="false">
      <c r="A14" s="4" t="s">
        <v>432</v>
      </c>
      <c r="B14" s="4" t="s">
        <v>433</v>
      </c>
      <c r="C14" s="4" t="s">
        <v>434</v>
      </c>
      <c r="D14" s="4" t="s">
        <v>435</v>
      </c>
      <c r="E14" s="4" t="s">
        <v>9</v>
      </c>
      <c r="F14" s="4" t="s">
        <v>394</v>
      </c>
    </row>
    <row r="15" customFormat="false" ht="24.75" hidden="false" customHeight="true" outlineLevel="0" collapsed="false">
      <c r="A15" s="6" t="s">
        <v>432</v>
      </c>
      <c r="B15" s="6" t="s">
        <v>436</v>
      </c>
      <c r="C15" s="6" t="s">
        <v>434</v>
      </c>
      <c r="D15" s="6" t="s">
        <v>437</v>
      </c>
      <c r="E15" s="6" t="s">
        <v>9</v>
      </c>
      <c r="F15" s="6" t="s">
        <v>438</v>
      </c>
    </row>
    <row r="16" customFormat="false" ht="24.75" hidden="false" customHeight="true" outlineLevel="0" collapsed="false">
      <c r="A16" s="4" t="s">
        <v>439</v>
      </c>
      <c r="B16" s="4" t="s">
        <v>440</v>
      </c>
      <c r="C16" s="4" t="s">
        <v>429</v>
      </c>
      <c r="D16" s="4" t="s">
        <v>441</v>
      </c>
      <c r="E16" s="4" t="s">
        <v>29</v>
      </c>
      <c r="F16" s="4" t="s">
        <v>442</v>
      </c>
    </row>
    <row r="17" customFormat="false" ht="24.75" hidden="false" customHeight="true" outlineLevel="0" collapsed="false">
      <c r="A17" s="6" t="s">
        <v>439</v>
      </c>
      <c r="B17" s="6" t="s">
        <v>443</v>
      </c>
      <c r="C17" s="6" t="s">
        <v>444</v>
      </c>
      <c r="D17" s="6" t="s">
        <v>445</v>
      </c>
      <c r="E17" s="6" t="s">
        <v>29</v>
      </c>
      <c r="F17" s="6" t="s">
        <v>446</v>
      </c>
    </row>
    <row r="18" customFormat="false" ht="24.75" hidden="false" customHeight="true" outlineLevel="0" collapsed="false">
      <c r="A18" s="4" t="s">
        <v>447</v>
      </c>
      <c r="B18" s="4" t="s">
        <v>448</v>
      </c>
      <c r="C18" s="4" t="s">
        <v>429</v>
      </c>
      <c r="D18" s="4" t="s">
        <v>449</v>
      </c>
      <c r="E18" s="4" t="s">
        <v>29</v>
      </c>
      <c r="F18" s="4" t="s">
        <v>450</v>
      </c>
    </row>
    <row r="19" customFormat="false" ht="24.75" hidden="false" customHeight="true" outlineLevel="0" collapsed="false">
      <c r="A19" s="6" t="s">
        <v>451</v>
      </c>
      <c r="B19" s="6" t="s">
        <v>452</v>
      </c>
      <c r="C19" s="6" t="s">
        <v>453</v>
      </c>
      <c r="D19" s="6" t="s">
        <v>454</v>
      </c>
      <c r="E19" s="6" t="s">
        <v>35</v>
      </c>
      <c r="F19" s="6" t="s">
        <v>455</v>
      </c>
    </row>
    <row r="20" customFormat="false" ht="24.75" hidden="false" customHeight="true" outlineLevel="0" collapsed="false">
      <c r="A20" s="4" t="s">
        <v>451</v>
      </c>
      <c r="B20" s="4" t="s">
        <v>456</v>
      </c>
      <c r="C20" s="4" t="s">
        <v>429</v>
      </c>
      <c r="D20" s="4" t="s">
        <v>457</v>
      </c>
      <c r="E20" s="4" t="s">
        <v>35</v>
      </c>
      <c r="F20" s="4" t="s">
        <v>458</v>
      </c>
    </row>
    <row r="21" customFormat="false" ht="24.75" hidden="false" customHeight="true" outlineLevel="0" collapsed="false">
      <c r="A21" s="6" t="s">
        <v>459</v>
      </c>
      <c r="B21" s="6" t="s">
        <v>460</v>
      </c>
      <c r="C21" s="6" t="s">
        <v>429</v>
      </c>
      <c r="D21" s="6" t="s">
        <v>461</v>
      </c>
      <c r="E21" s="6" t="s">
        <v>41</v>
      </c>
      <c r="F21" s="6" t="s">
        <v>462</v>
      </c>
    </row>
    <row r="22" customFormat="false" ht="24.75" hidden="false" customHeight="true" outlineLevel="0" collapsed="false">
      <c r="A22" s="4" t="s">
        <v>463</v>
      </c>
      <c r="B22" s="4" t="s">
        <v>464</v>
      </c>
      <c r="C22" s="4" t="s">
        <v>465</v>
      </c>
      <c r="D22" s="4" t="s">
        <v>466</v>
      </c>
      <c r="E22" s="4" t="s">
        <v>9</v>
      </c>
      <c r="F22" s="4" t="s">
        <v>394</v>
      </c>
    </row>
    <row r="23" customFormat="false" ht="24.75" hidden="false" customHeight="true" outlineLevel="0" collapsed="false">
      <c r="A23" s="6" t="s">
        <v>463</v>
      </c>
      <c r="B23" s="6" t="s">
        <v>467</v>
      </c>
      <c r="C23" s="6" t="s">
        <v>468</v>
      </c>
      <c r="D23" s="6" t="s">
        <v>469</v>
      </c>
      <c r="E23" s="6" t="s">
        <v>9</v>
      </c>
      <c r="F23" s="6" t="s">
        <v>394</v>
      </c>
    </row>
    <row r="24" customFormat="false" ht="24.75" hidden="false" customHeight="true" outlineLevel="0" collapsed="false">
      <c r="A24" s="4" t="s">
        <v>470</v>
      </c>
      <c r="B24" s="4" t="s">
        <v>471</v>
      </c>
      <c r="C24" s="4" t="s">
        <v>429</v>
      </c>
      <c r="D24" s="4" t="s">
        <v>472</v>
      </c>
      <c r="E24" s="4" t="s">
        <v>9</v>
      </c>
      <c r="F24" s="4" t="s">
        <v>473</v>
      </c>
    </row>
    <row r="25" customFormat="false" ht="24.75" hidden="false" customHeight="true" outlineLevel="0" collapsed="false">
      <c r="A25" s="6" t="s">
        <v>474</v>
      </c>
      <c r="B25" s="6" t="s">
        <v>475</v>
      </c>
      <c r="C25" s="6" t="s">
        <v>476</v>
      </c>
      <c r="D25" s="6" t="s">
        <v>477</v>
      </c>
      <c r="E25" s="6" t="s">
        <v>54</v>
      </c>
      <c r="F25" s="6" t="s">
        <v>478</v>
      </c>
    </row>
    <row r="26" customFormat="false" ht="24.75" hidden="false" customHeight="true" outlineLevel="0" collapsed="false">
      <c r="A26" s="4" t="s">
        <v>479</v>
      </c>
      <c r="B26" s="4" t="s">
        <v>480</v>
      </c>
      <c r="C26" s="4" t="s">
        <v>429</v>
      </c>
      <c r="D26" s="4" t="s">
        <v>481</v>
      </c>
      <c r="E26" s="4" t="s">
        <v>48</v>
      </c>
      <c r="F26" s="4" t="s">
        <v>482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9" t="s">
        <v>483</v>
      </c>
      <c r="B1" s="9"/>
      <c r="C1" s="9"/>
      <c r="D1" s="9"/>
      <c r="E1" s="9"/>
      <c r="F1" s="9"/>
      <c r="G1" s="9"/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484</v>
      </c>
      <c r="D3" s="3" t="s">
        <v>485</v>
      </c>
      <c r="E3" s="3" t="s">
        <v>486</v>
      </c>
      <c r="F3" s="3" t="s">
        <v>487</v>
      </c>
      <c r="G3" s="3" t="s">
        <v>488</v>
      </c>
    </row>
    <row r="4" customFormat="false" ht="30" hidden="false" customHeight="true" outlineLevel="0" collapsed="false">
      <c r="A4" s="4" t="s">
        <v>9</v>
      </c>
      <c r="B4" s="4" t="s">
        <v>10</v>
      </c>
      <c r="C4" s="12" t="s">
        <v>489</v>
      </c>
      <c r="D4" s="12" t="n">
        <v>8</v>
      </c>
      <c r="E4" s="12" t="n">
        <v>45</v>
      </c>
      <c r="F4" s="4" t="s">
        <v>490</v>
      </c>
      <c r="G4" s="18" t="s">
        <v>491</v>
      </c>
    </row>
    <row r="5" customFormat="false" ht="30" hidden="false" customHeight="true" outlineLevel="0" collapsed="false">
      <c r="A5" s="6" t="s">
        <v>16</v>
      </c>
      <c r="B5" s="6" t="s">
        <v>17</v>
      </c>
      <c r="C5" s="14" t="s">
        <v>492</v>
      </c>
      <c r="D5" s="14" t="n">
        <v>7</v>
      </c>
      <c r="E5" s="14" t="n">
        <v>38</v>
      </c>
      <c r="F5" s="6" t="s">
        <v>493</v>
      </c>
      <c r="G5" s="6" t="s">
        <v>494</v>
      </c>
    </row>
    <row r="6" customFormat="false" ht="30" hidden="false" customHeight="true" outlineLevel="0" collapsed="false">
      <c r="A6" s="4" t="s">
        <v>23</v>
      </c>
      <c r="B6" s="4" t="s">
        <v>495</v>
      </c>
      <c r="C6" s="12" t="s">
        <v>496</v>
      </c>
      <c r="D6" s="12" t="n">
        <v>6</v>
      </c>
      <c r="E6" s="12" t="n">
        <v>36</v>
      </c>
      <c r="F6" s="4" t="s">
        <v>497</v>
      </c>
      <c r="G6" s="4" t="s">
        <v>494</v>
      </c>
    </row>
    <row r="7" customFormat="false" ht="30" hidden="false" customHeight="true" outlineLevel="0" collapsed="false">
      <c r="A7" s="6" t="s">
        <v>29</v>
      </c>
      <c r="B7" s="6" t="s">
        <v>30</v>
      </c>
      <c r="C7" s="14" t="s">
        <v>498</v>
      </c>
      <c r="D7" s="14" t="n">
        <v>7</v>
      </c>
      <c r="E7" s="14" t="n">
        <v>41</v>
      </c>
      <c r="F7" s="6" t="s">
        <v>499</v>
      </c>
      <c r="G7" s="18" t="s">
        <v>500</v>
      </c>
    </row>
    <row r="8" customFormat="false" ht="30" hidden="false" customHeight="true" outlineLevel="0" collapsed="false">
      <c r="A8" s="4" t="s">
        <v>35</v>
      </c>
      <c r="B8" s="4" t="s">
        <v>36</v>
      </c>
      <c r="C8" s="12" t="s">
        <v>501</v>
      </c>
      <c r="D8" s="12" t="n">
        <v>6</v>
      </c>
      <c r="E8" s="12" t="n">
        <v>32</v>
      </c>
      <c r="F8" s="4" t="s">
        <v>502</v>
      </c>
      <c r="G8" s="18" t="s">
        <v>503</v>
      </c>
    </row>
    <row r="9" customFormat="false" ht="30" hidden="false" customHeight="true" outlineLevel="0" collapsed="false">
      <c r="A9" s="6" t="s">
        <v>41</v>
      </c>
      <c r="B9" s="6" t="s">
        <v>42</v>
      </c>
      <c r="C9" s="14" t="s">
        <v>504</v>
      </c>
      <c r="D9" s="14" t="n">
        <v>6</v>
      </c>
      <c r="E9" s="14" t="n">
        <v>34</v>
      </c>
      <c r="F9" s="6" t="s">
        <v>505</v>
      </c>
      <c r="G9" s="6" t="s">
        <v>494</v>
      </c>
    </row>
    <row r="10" customFormat="false" ht="30" hidden="false" customHeight="true" outlineLevel="0" collapsed="false">
      <c r="A10" s="4" t="s">
        <v>48</v>
      </c>
      <c r="B10" s="4" t="s">
        <v>49</v>
      </c>
      <c r="C10" s="12" t="s">
        <v>506</v>
      </c>
      <c r="D10" s="12" t="n">
        <v>6</v>
      </c>
      <c r="E10" s="12" t="n">
        <v>29</v>
      </c>
      <c r="F10" s="4" t="s">
        <v>507</v>
      </c>
      <c r="G10" s="4" t="s">
        <v>494</v>
      </c>
    </row>
    <row r="11" customFormat="false" ht="30" hidden="false" customHeight="true" outlineLevel="0" collapsed="false">
      <c r="A11" s="6" t="s">
        <v>54</v>
      </c>
      <c r="B11" s="6" t="s">
        <v>55</v>
      </c>
      <c r="C11" s="14" t="s">
        <v>508</v>
      </c>
      <c r="D11" s="14" t="n">
        <v>7</v>
      </c>
      <c r="E11" s="14" t="n">
        <v>50</v>
      </c>
      <c r="F11" s="6" t="s">
        <v>509</v>
      </c>
      <c r="G11" s="6" t="s">
        <v>494</v>
      </c>
    </row>
    <row r="12" customFormat="false" ht="15" hidden="false" customHeight="false" outlineLevel="0" collapsed="false">
      <c r="A12" s="19" t="s">
        <v>510</v>
      </c>
      <c r="B12" s="20"/>
      <c r="C12" s="20"/>
      <c r="D12" s="21" t="n">
        <f aca="false">SUM(D4:D11)</f>
        <v>53</v>
      </c>
      <c r="E12" s="21" t="n">
        <f aca="false">SUM(E4:E11)</f>
        <v>305</v>
      </c>
      <c r="F12" s="20"/>
      <c r="G12" s="20"/>
    </row>
    <row r="14" customFormat="false" ht="15" hidden="false" customHeight="false" outlineLevel="0" collapsed="false">
      <c r="A14" s="22" t="s">
        <v>511</v>
      </c>
      <c r="B14" s="23" t="s">
        <v>512</v>
      </c>
    </row>
    <row r="15" customFormat="false" ht="15" hidden="false" customHeight="false" outlineLevel="0" collapsed="false">
      <c r="A15" s="22" t="s">
        <v>513</v>
      </c>
      <c r="B15" s="23" t="s">
        <v>514</v>
      </c>
    </row>
    <row r="16" customFormat="false" ht="15" hidden="false" customHeight="false" outlineLevel="0" collapsed="false">
      <c r="A16" s="22" t="s">
        <v>515</v>
      </c>
      <c r="B16" s="23" t="s">
        <v>516</v>
      </c>
    </row>
    <row r="17" customFormat="false" ht="15" hidden="false" customHeight="false" outlineLevel="0" collapsed="false">
      <c r="A17" s="22" t="s">
        <v>517</v>
      </c>
      <c r="B17" s="23" t="s">
        <v>518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2026-03-06T08:04:02Z</dcterms:created>
  <dc:creator>openpyxl</dc:creator>
  <dc:description/>
  <dc:language>en-US</dc:language>
  <cp:lastModifiedBy/>
  <dcterms:modified xsi:type="dcterms:W3CDTF">2026-03-06T08:04:02Z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