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Backlog — User Stories" sheetId="2" state="visible" r:id="rId4"/>
    <sheet name="Sprint Schedule" sheetId="3" state="visible" r:id="rId5"/>
    <sheet name="Status Tracker" sheetId="4" state="visible" r:id="rId6"/>
    <sheet name="Technical Architecture" sheetId="5" state="visible" r:id="rId7"/>
  </sheets>
  <definedNames>
    <definedName function="false" hidden="true" localSheetId="1" name="_xlnm._FilterDatabase" vbProcedure="false">'Backlog — User Stories'!$A$3:$N$3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<sst xmlns="http://schemas.openxmlformats.org/spreadsheetml/2006/main" count="1420" uniqueCount="662">
  <si>
    <t xml:space="preserve">WAYPOINT — Website Landing Page IT Project Plan</t>
  </si>
  <si>
    <t xml:space="preserve">Your child's unexpected journey. Every step, mapped.</t>
  </si>
  <si>
    <t xml:space="preserve">Prepared: February 2026  |  Owner: Mike Beebe  |  Status: Planning</t>
  </si>
  <si>
    <t xml:space="preserve">Project Name</t>
  </si>
  <si>
    <t xml:space="preserve">Waypoint Marketing Website &amp; Landing Page</t>
  </si>
  <si>
    <t xml:space="preserve">Project Type</t>
  </si>
  <si>
    <t xml:space="preserve">Website Development (React/Next.js)</t>
  </si>
  <si>
    <t xml:space="preserve">Owner</t>
  </si>
  <si>
    <t xml:space="preserve">Mike Beebe — Founder &amp; CEO</t>
  </si>
  <si>
    <t xml:space="preserve">Target Launch</t>
  </si>
  <si>
    <t xml:space="preserve">Phase 0, Weeks 1-4 (GTM Plan)</t>
  </si>
  <si>
    <t xml:space="preserve">Priority</t>
  </si>
  <si>
    <t xml:space="preserve">P0 — Critical Path for GTM Execution</t>
  </si>
  <si>
    <t xml:space="preserve">Tech Stack</t>
  </si>
  <si>
    <t xml:space="preserve">React/Next.js, Vercel, Supabase (waitlist), Tailwind CSS</t>
  </si>
  <si>
    <t xml:space="preserve">Design System</t>
  </si>
  <si>
    <t xml:space="preserve">Navy (#1B2A4A), Teal (#0891B2), Sage (#10B981), Coral (#F97316)</t>
  </si>
  <si>
    <t xml:space="preserve">Key Objective</t>
  </si>
  <si>
    <t xml:space="preserve">Convert visitors to waitlist signups; demonstrate product value with interactive tools</t>
  </si>
  <si>
    <t xml:space="preserve">Success Metrics</t>
  </si>
  <si>
    <t xml:space="preserve">500 waitlist signups (Phase 0 exit criteria), &lt;3s load time, WCAG AA compliance</t>
  </si>
  <si>
    <t xml:space="preserve">Reference Docs</t>
  </si>
  <si>
    <t xml:space="preserve">Waypoint-Landing-Page.jsx, Waypoint-Mockups-v2.jsx, GTM Plan, Business Plan</t>
  </si>
  <si>
    <t xml:space="preserve">Epic Summary</t>
  </si>
  <si>
    <t xml:space="preserve">Epic #</t>
  </si>
  <si>
    <t xml:space="preserve">Epic Name</t>
  </si>
  <si>
    <t xml:space="preserve">Stories</t>
  </si>
  <si>
    <t xml:space="preserve">Est. Hours</t>
  </si>
  <si>
    <t xml:space="preserve">Sprint</t>
  </si>
  <si>
    <t xml:space="preserve">Status</t>
  </si>
  <si>
    <t xml:space="preserve">Description</t>
  </si>
  <si>
    <t xml:space="preserve">E-01</t>
  </si>
  <si>
    <t xml:space="preserve">Project Setup &amp; Infrastructure</t>
  </si>
  <si>
    <t xml:space="preserve">6</t>
  </si>
  <si>
    <t xml:space="preserve">18</t>
  </si>
  <si>
    <t xml:space="preserve">Sprint 0</t>
  </si>
  <si>
    <t xml:space="preserve">P0</t>
  </si>
  <si>
    <t xml:space="preserve">Not Started</t>
  </si>
  <si>
    <t xml:space="preserve">Repository, hosting, CI/CD, domain, analytics, design system</t>
  </si>
  <si>
    <t xml:space="preserve">E-02</t>
  </si>
  <si>
    <t xml:space="preserve">Navigation &amp; Header</t>
  </si>
  <si>
    <t xml:space="preserve">4</t>
  </si>
  <si>
    <t xml:space="preserve">10</t>
  </si>
  <si>
    <t xml:space="preserve">Sprint 1</t>
  </si>
  <si>
    <t xml:space="preserve">Fixed nav, logo, links, mobile hamburger, CTA button</t>
  </si>
  <si>
    <t xml:space="preserve">E-03</t>
  </si>
  <si>
    <t xml:space="preserve">Hero Section</t>
  </si>
  <si>
    <t xml:space="preserve">5</t>
  </si>
  <si>
    <t xml:space="preserve">14</t>
  </si>
  <si>
    <t xml:space="preserve">Typewriter headline, subheadline, gradient background, dual CTAs</t>
  </si>
  <si>
    <t xml:space="preserve">E-04</t>
  </si>
  <si>
    <t xml:space="preserve">Problem Statement Section</t>
  </si>
  <si>
    <t xml:space="preserve">P1</t>
  </si>
  <si>
    <t xml:space="preserve">Animated counters, stat cards, supporting copy</t>
  </si>
  <si>
    <t xml:space="preserve">E-05</t>
  </si>
  <si>
    <t xml:space="preserve">How It Works Section</t>
  </si>
  <si>
    <t xml:space="preserve">3</t>
  </si>
  <si>
    <t xml:space="preserve">8</t>
  </si>
  <si>
    <t xml:space="preserve">Three-step process cards with icons and descriptions</t>
  </si>
  <si>
    <t xml:space="preserve">E-06</t>
  </si>
  <si>
    <t xml:space="preserve">Eligibility Tool (Interactive)</t>
  </si>
  <si>
    <t xml:space="preserve">28</t>
  </si>
  <si>
    <t xml:space="preserve">Sprint 2</t>
  </si>
  <si>
    <t xml:space="preserve">Diagnosis selector, program results, email gate, unlock flow</t>
  </si>
  <si>
    <t xml:space="preserve">E-07</t>
  </si>
  <si>
    <t xml:space="preserve">Journey Maps (Interactive)</t>
  </si>
  <si>
    <t xml:space="preserve">7</t>
  </si>
  <si>
    <t xml:space="preserve">24</t>
  </si>
  <si>
    <t xml:space="preserve">Diagnosis tabs, timeline accordion, entity cards, milestones</t>
  </si>
  <si>
    <t xml:space="preserve">E-08</t>
  </si>
  <si>
    <t xml:space="preserve">AI Difference Section</t>
  </si>
  <si>
    <t xml:space="preserve">Side-by-side comparison: generic advice vs Waypoint AI</t>
  </si>
  <si>
    <t xml:space="preserve">E-09</t>
  </si>
  <si>
    <t xml:space="preserve">Features Section</t>
  </si>
  <si>
    <t xml:space="preserve">Feature cards grid with icons, badges, hover effects</t>
  </si>
  <si>
    <t xml:space="preserve">E-10</t>
  </si>
  <si>
    <t xml:space="preserve">Founder Section</t>
  </si>
  <si>
    <t xml:space="preserve">2</t>
  </si>
  <si>
    <t xml:space="preserve">Sprint 3</t>
  </si>
  <si>
    <t xml:space="preserve">Founder bio, photo placeholder, quote styling</t>
  </si>
  <si>
    <t xml:space="preserve">E-11</t>
  </si>
  <si>
    <t xml:space="preserve">Stats Section</t>
  </si>
  <si>
    <t xml:space="preserve">Animated counters, dark background, scroll-triggered</t>
  </si>
  <si>
    <t xml:space="preserve">E-12</t>
  </si>
  <si>
    <t xml:space="preserve">Waitlist / CTA Section</t>
  </si>
  <si>
    <t xml:space="preserve">Email capture form, role selector, Supabase integration, confirmation</t>
  </si>
  <si>
    <t xml:space="preserve">E-13</t>
  </si>
  <si>
    <t xml:space="preserve">Footer</t>
  </si>
  <si>
    <t xml:space="preserve">Links, branding, legal pages, copyright</t>
  </si>
  <si>
    <t xml:space="preserve">E-14</t>
  </si>
  <si>
    <t xml:space="preserve">SEO &amp; Performance</t>
  </si>
  <si>
    <t xml:space="preserve">12</t>
  </si>
  <si>
    <t xml:space="preserve">Meta tags, OG images, sitemap, lighthouse audit, Core Web Vitals</t>
  </si>
  <si>
    <t xml:space="preserve">E-15</t>
  </si>
  <si>
    <t xml:space="preserve">Analytics &amp; Tracking</t>
  </si>
  <si>
    <t xml:space="preserve">GA4, Plausible, event tracking, conversion tracking, email automation</t>
  </si>
  <si>
    <t xml:space="preserve">E-16</t>
  </si>
  <si>
    <t xml:space="preserve">Responsive Design &amp; QA</t>
  </si>
  <si>
    <t xml:space="preserve">16</t>
  </si>
  <si>
    <t xml:space="preserve">Sprint 4</t>
  </si>
  <si>
    <t xml:space="preserve">Mobile, tablet, desktop breakpoints, cross-browser, accessibility</t>
  </si>
  <si>
    <t xml:space="preserve">E-17</t>
  </si>
  <si>
    <t xml:space="preserve">Email Automation &amp; Nurture</t>
  </si>
  <si>
    <t xml:space="preserve">Welcome sequence (4 emails), ConvertKit/Resend integration</t>
  </si>
  <si>
    <t xml:space="preserve">E-18</t>
  </si>
  <si>
    <t xml:space="preserve">Content &amp; Legal Pages</t>
  </si>
  <si>
    <t xml:space="preserve">Privacy Policy, Terms of Service, HIPAA notice, blog scaffold</t>
  </si>
  <si>
    <t xml:space="preserve">TOTAL</t>
  </si>
  <si>
    <t xml:space="preserve">WAYPOINT Website — Full Backlog: User Stories, Issues &amp; Acceptance Criteria</t>
  </si>
  <si>
    <t xml:space="preserve">ID</t>
  </si>
  <si>
    <t xml:space="preserve">Epic</t>
  </si>
  <si>
    <t xml:space="preserve">Story Type</t>
  </si>
  <si>
    <t xml:space="preserve">User Story / Issue Title</t>
  </si>
  <si>
    <t xml:space="preserve">Acceptance Criteria</t>
  </si>
  <si>
    <t xml:space="preserve">Est. Hrs</t>
  </si>
  <si>
    <t xml:space="preserve">Assignee</t>
  </si>
  <si>
    <t xml:space="preserve">Dependencies</t>
  </si>
  <si>
    <t xml:space="preserve">Labels</t>
  </si>
  <si>
    <t xml:space="preserve">Reference</t>
  </si>
  <si>
    <t xml:space="preserve">WEB-001</t>
  </si>
  <si>
    <t xml:space="preserve">Task</t>
  </si>
  <si>
    <t xml:space="preserve">Initialize Next.js project with TypeScript and Tailwind</t>
  </si>
  <si>
    <t xml:space="preserve">Create the Next.js 14 project scaffold with App Router, TypeScript strict mode, Tailwind CSS, and ESLint/Prettier. Set up folder structure: app/, components/, lib/, public/, styles/.</t>
  </si>
  <si>
    <t xml:space="preserve">1. Next.js app runs locally with `npm run dev`
2. TypeScript strict mode enabled
3. Tailwind CSS configured with Waypoint color palette
4. ESLint + Prettier configured
5. Folder structure matches spec</t>
  </si>
  <si>
    <t xml:space="preserve">Mike</t>
  </si>
  <si>
    <t xml:space="preserve">—</t>
  </si>
  <si>
    <t xml:space="preserve">setup, frontend</t>
  </si>
  <si>
    <t xml:space="preserve">GTM Plan Phase 0</t>
  </si>
  <si>
    <t xml:space="preserve">WEB-002</t>
  </si>
  <si>
    <t xml:space="preserve">Set up GitHub repository and branch strategy</t>
  </si>
  <si>
    <t xml:space="preserve">Create private GitHub repo waypoint-web. Configure branch protection on main. Set up dev branch. Create PR template and issue labels.</t>
  </si>
  <si>
    <t xml:space="preserve">1. Repo created with README and .gitignore
2. Branch protection on main requires PR
3. Labels created: feature, bug, content, infra, design
4. PR template added</t>
  </si>
  <si>
    <t xml:space="preserve">1</t>
  </si>
  <si>
    <t xml:space="preserve">setup, infra</t>
  </si>
  <si>
    <t xml:space="preserve">Sprint Plan Git Workflow</t>
  </si>
  <si>
    <t xml:space="preserve">WEB-003</t>
  </si>
  <si>
    <t xml:space="preserve">Configure Vercel deployment with custom domain</t>
  </si>
  <si>
    <t xml:space="preserve">Connect GitHub repo to Vercel. Configure waypointfamilies.com domain with SSL. Set up preview deployments for PRs. Configure environment variables.</t>
  </si>
  <si>
    <t xml:space="preserve">1. Vercel project connected to GitHub
2. Auto-deploys on push to main
3. Preview URLs for PRs
4. Custom domain with SSL active
5. Environment variables configured</t>
  </si>
  <si>
    <t xml:space="preserve">infra, hosting</t>
  </si>
  <si>
    <t xml:space="preserve">WEB-004</t>
  </si>
  <si>
    <t xml:space="preserve">Set up Supabase project for waitlist email capture</t>
  </si>
  <si>
    <t xml:space="preserve">Create Supabase project. Design waitlist table schema (email, role, timestamp, source, utm_params). Set up RLS policies. Create edge function for form submission.</t>
  </si>
  <si>
    <t xml:space="preserve">1. Supabase project created
2. waitlist_signups table with RLS
3. Edge function accepts POST with email + role
4. Duplicate email handling (upsert)
5. Returns success/error JSON</t>
  </si>
  <si>
    <t xml:space="preserve">backend, infra</t>
  </si>
  <si>
    <t xml:space="preserve">12-Week Plan Week 1</t>
  </si>
  <si>
    <t xml:space="preserve">WEB-005</t>
  </si>
  <si>
    <t xml:space="preserve">Configure Google Analytics 4 + Plausible analytics</t>
  </si>
  <si>
    <t xml:space="preserve">Install GA4 with consent-aware tracking. Set up Plausible as privacy-friendly alternative. Configure both with proper event schemas.</t>
  </si>
  <si>
    <t xml:space="preserve">1. GA4 tag fires on page load
2. Plausible script installed
3. Custom events defined: waitlist_signup, eligibility_tool_use, journey_map_view, cta_click
4. UTM parameter tracking active</t>
  </si>
  <si>
    <t xml:space="preserve">analytics, infra</t>
  </si>
  <si>
    <t xml:space="preserve">GTM Plan Metrics</t>
  </si>
  <si>
    <t xml:space="preserve">WEB-006</t>
  </si>
  <si>
    <t xml:space="preserve">Create Tailwind design system with Waypoint brand tokens</t>
  </si>
  <si>
    <t xml:space="preserve">Extend Tailwind config with Waypoint colors (Navy, Teal, Sage, Coral, Dark, Mid, Light), typography (DM Sans, DM Serif Display), spacing, and component patterns.</t>
  </si>
  <si>
    <t xml:space="preserve">1. tailwind.config.ts has all brand colors
2. Google Fonts loaded: DM Sans + DM Serif Display
3. Reusable CSS utility classes for gradients
4. Component patterns documented
5. Dark nav gradient matches mockup</t>
  </si>
  <si>
    <t xml:space="preserve">design, frontend</t>
  </si>
  <si>
    <t xml:space="preserve">Landing Page JSX colors</t>
  </si>
  <si>
    <t xml:space="preserve">WEB-007</t>
  </si>
  <si>
    <t xml:space="preserve">User Story</t>
  </si>
  <si>
    <t xml:space="preserve">As a visitor, I can see a fixed navigation bar so I can access key sections from anywhere on the page</t>
  </si>
  <si>
    <t xml:space="preserve">Build fixed top navigation with Waypoint logo, section links (Eligibility Tool, Journey Maps, Features), and a prominent "Join Waitlist" CTA button. Semi-transparent navy background with blur effect.</t>
  </si>
  <si>
    <t xml:space="preserve">1. Nav fixed to top with z-index 100
2. Logo (circle gradient + "WAYPOINT" text) renders
3. Section links scroll to anchors smoothly
4. "Join Waitlist" button styled as teal pill
5. Nav has backdrop-blur effect
6. Responsive: collapses to hamburger on mobile</t>
  </si>
  <si>
    <t xml:space="preserve">frontend, nav</t>
  </si>
  <si>
    <t xml:space="preserve">Landing Page JSX Nav</t>
  </si>
  <si>
    <t xml:space="preserve">WEB-008</t>
  </si>
  <si>
    <t xml:space="preserve">As a mobile visitor, I can use a hamburger menu to navigate the site</t>
  </si>
  <si>
    <t xml:space="preserve">Implement mobile hamburger menu with slide-out drawer. Includes all nav links plus CTA button. Closes on link click or outside tap.</t>
  </si>
  <si>
    <t xml:space="preserve">1. Hamburger icon visible below 768px
2. Menu slides in from right
3. All nav links present
4. CTA button styled prominently
5. Closes on link click
6. Closes on overlay tap
7. Body scroll locked when open</t>
  </si>
  <si>
    <t xml:space="preserve">frontend, mobile</t>
  </si>
  <si>
    <t xml:space="preserve">Responsive req</t>
  </si>
  <si>
    <t xml:space="preserve">WEB-009</t>
  </si>
  <si>
    <t xml:space="preserve">As a visitor, I can click the logo to scroll to the top of the page</t>
  </si>
  <si>
    <t xml:space="preserve">Logo click triggers smooth scroll to top. Logo includes animated gradient circle and "WAYPOINT" wordmark.</t>
  </si>
  <si>
    <t xml:space="preserve">1. Logo click scrolls to top
2. Smooth scroll animation
3. Logo matches brand spec (gradient circle + text)</t>
  </si>
  <si>
    <t xml:space="preserve">Landing Page JSX</t>
  </si>
  <si>
    <t xml:space="preserve">WEB-010</t>
  </si>
  <si>
    <t xml:space="preserve">As a visitor, the nav highlights the active section as I scroll</t>
  </si>
  <si>
    <t xml:space="preserve">Implement scroll spy that highlights the current section link in the nav based on scroll position. Uses Intersection Observer API.</t>
  </si>
  <si>
    <t xml:space="preserve">1. Active section link is teal/bold
2. Highlight updates on scroll
3. Uses IntersectionObserver (no scroll listener)
4. Works with smooth scroll anchor clicks</t>
  </si>
  <si>
    <t xml:space="preserve">frontend, ux</t>
  </si>
  <si>
    <t xml:space="preserve">UX enhancement</t>
  </si>
  <si>
    <t xml:space="preserve">WEB-011</t>
  </si>
  <si>
    <t xml:space="preserve">As a visitor, I see a compelling hero section that explains what Waypoint is</t>
  </si>
  <si>
    <t xml:space="preserve">Build the hero section with gradient background (Navy → Teal), radial glow effect, badge ("Now mapping California disability services"), headline with typewriter animation, sub-headline, description paragraph, and dual CTA buttons.</t>
  </si>
  <si>
    <t xml:space="preserve">1. Gradient background renders correctly
2. Radial glow overlay visible
3. Green badge with compass emoji renders
4. Headline typewriter animation plays on load
5. Sub-headline "We have a roadmap" in teal
6. Description paragraph present
7. Both CTA buttons render and link correctly
8. Padding and spacing match mockup</t>
  </si>
  <si>
    <t xml:space="preserve">frontend, hero</t>
  </si>
  <si>
    <t xml:space="preserve">Landing Page JSX Hero</t>
  </si>
  <si>
    <t xml:space="preserve">WEB-012</t>
  </si>
  <si>
    <t xml:space="preserve">Feature</t>
  </si>
  <si>
    <t xml:space="preserve">Implement typewriter text animation for hero headline</t>
  </si>
  <si>
    <t xml:space="preserve">Build reusable TypeWriter component that reveals text character by character. Configurable speed. Triggers on viewport intersection. Shows blinking cursor during animation.</t>
  </si>
  <si>
    <t xml:space="preserve">1. Text reveals character by character
2. Speed is configurable (default 35ms)
3. Triggers when scrolled into view
4. Blinking cursor shows during animation
5. Cursor disappears after text complete
6. No layout shift during animation</t>
  </si>
  <si>
    <t xml:space="preserve">frontend, animation</t>
  </si>
  <si>
    <t xml:space="preserve">Landing Page JSX TypeWriter</t>
  </si>
  <si>
    <t xml:space="preserve">WEB-013</t>
  </si>
  <si>
    <t xml:space="preserve">As a visitor, I can click "See What You're Eligible For" to jump to the eligibility tool</t>
  </si>
  <si>
    <t xml:space="preserve">Primary CTA button with teal background and box shadow. Smooth scrolls to #eligibility-tool section. Secondary CTA "Join the Waitlist" scrolls to #waitlist.</t>
  </si>
  <si>
    <t xml:space="preserve">1. Primary CTA has teal background + shadow
2. Clicks scroll to #eligibility-tool
3. Secondary CTA has glass-morphism style
4. Clicks scroll to #waitlist
5. Both buttons have hover states</t>
  </si>
  <si>
    <t xml:space="preserve">frontend, cta</t>
  </si>
  <si>
    <t xml:space="preserve">Landing Page JSX Hero CTAs</t>
  </si>
  <si>
    <t xml:space="preserve">WEB-014</t>
  </si>
  <si>
    <t xml:space="preserve">Hero section responsive layout for mobile/tablet</t>
  </si>
  <si>
    <t xml:space="preserve">Ensure hero section stacks properly on mobile. Reduce font sizes. Adjust padding. CTAs stack vertically below 640px.</t>
  </si>
  <si>
    <t xml:space="preserve">1. Text readable on 375px viewport
2. Font sizes scale appropriately
3. CTAs stack vertically on mobile
4. Padding reduced on small screens
5. No horizontal overflow</t>
  </si>
  <si>
    <t xml:space="preserve">WEB-015</t>
  </si>
  <si>
    <t xml:space="preserve">Optimize hero background gradient for performance</t>
  </si>
  <si>
    <t xml:space="preserve">Ensure CSS gradients render without jank. Use will-change for radial overlay. Lazy-load any decorative elements below the fold.</t>
  </si>
  <si>
    <t xml:space="preserve">1. No layout shift on load
2. Gradient renders in first paint
3. LCP &lt; 2.5s on mobile
4. No jank on scroll</t>
  </si>
  <si>
    <t xml:space="preserve">performance, frontend</t>
  </si>
  <si>
    <t xml:space="preserve">Lighthouse audit</t>
  </si>
  <si>
    <t xml:space="preserve">WEB-016</t>
  </si>
  <si>
    <t xml:space="preserve">As a visitor, I can see the scale of the problem with animated statistics</t>
  </si>
  <si>
    <t xml:space="preserve">Build the "The Problem" section with header, 4 stat cards (23 agencies, 47+ forms, 15-25 entities, 1 parent), and supporting paragraph. Stats animate on scroll.</t>
  </si>
  <si>
    <t xml:space="preserve">1. Section header with "THE PROBLEM" label
2. 4 stat cards in grid layout
3. Numbers animate from 0 to target on scroll
4. Cards have white background with subtle shadow
5. Supporting paragraph below cards
6. Light gray section background</t>
  </si>
  <si>
    <t xml:space="preserve">frontend, content</t>
  </si>
  <si>
    <t xml:space="preserve">Landing Page JSX Problem</t>
  </si>
  <si>
    <t xml:space="preserve">WEB-017</t>
  </si>
  <si>
    <t xml:space="preserve">Build AnimatedCounter component with intersection observer</t>
  </si>
  <si>
    <t xml:space="preserve">Reusable counter component that animates from 0 to target number when scrolled into view. Supports suffix ("+", "–25"). Uses requestAnimationFrame.</t>
  </si>
  <si>
    <t xml:space="preserve">1. Counter animates from 0 to target
2. Supports string suffixes
3. Triggers on 50% viewport intersection
4. Smooth animation (not jumpy)
5. Only animates once
6. Handles non-numeric targets gracefully</t>
  </si>
  <si>
    <t xml:space="preserve">Landing Page JSX AnimatedCounter</t>
  </si>
  <si>
    <t xml:space="preserve">WEB-018</t>
  </si>
  <si>
    <t xml:space="preserve">Stat cards responsive grid: 4-col to 2-col to 1-col</t>
  </si>
  <si>
    <t xml:space="preserve">Grid layout adapts from 4 columns (desktop) to 2 columns (tablet) to 1 column (mobile).</t>
  </si>
  <si>
    <t xml:space="preserve">1. 4-col at ≥1024px
2. 2-col at 640-1023px
3. 1-col at &lt;640px
4. Cards maintain consistent padding
5. No overflow issues</t>
  </si>
  <si>
    <t xml:space="preserve">WEB-019</t>
  </si>
  <si>
    <t xml:space="preserve">Problem section content and copy finalization</t>
  </si>
  <si>
    <t xml:space="preserve">Review and finalize problem section copy. Ensure stats cite CDC data. Paragraph references "15-25 entities" from Entity Navigation Matrix research.</t>
  </si>
  <si>
    <t xml:space="preserve">1. Stats match business plan data
2. Sources cited in comments
3. Copy reviewed for accuracy
4. Tone is empathetic, not fear-based</t>
  </si>
  <si>
    <t xml:space="preserve">content</t>
  </si>
  <si>
    <t xml:space="preserve">Business Plan Section 2</t>
  </si>
  <si>
    <t xml:space="preserve">WEB-020</t>
  </si>
  <si>
    <t xml:space="preserve">As a visitor, I understand how Waypoint works in 3 simple steps</t>
  </si>
  <si>
    <t xml:space="preserve">Build "How It Works" section with three numbered cards: (01) Tell us about your child, (02) Get your personalized roadmap, (03) Let AI handle the paperwork. Each has step number, emoji, title, and description.</t>
  </si>
  <si>
    <t xml:space="preserve">1. Section header with "HOW IT WORKS"
2. 3-column grid with step cards
3. Large watermark-style step numbers (01, 02, 03)
4. Emoji icons for each step
5. Title and description text
6. Responsive: 3-col → 1-col</t>
  </si>
  <si>
    <t xml:space="preserve">Landing Page JSX How It Works</t>
  </si>
  <si>
    <t xml:space="preserve">WEB-021</t>
  </si>
  <si>
    <t xml:space="preserve">Step cards with subtle entrance animations</t>
  </si>
  <si>
    <t xml:space="preserve">Add staggered fade-up animation to the 3 step cards as they scroll into view.</t>
  </si>
  <si>
    <t xml:space="preserve">1. Cards animate sequentially (100ms stagger)
2. Fade + translate-y animation
3. Triggers at 30% viewport intersection
4. Respects prefers-reduced-motion</t>
  </si>
  <si>
    <t xml:space="preserve">WEB-022</t>
  </si>
  <si>
    <t xml:space="preserve">How It Works responsive layout</t>
  </si>
  <si>
    <t xml:space="preserve">Grid goes from 3 columns (desktop) to stacked (mobile). Maintain visual hierarchy.</t>
  </si>
  <si>
    <t xml:space="preserve">1. 3-col at ≥768px
2. 1-col stacked at &lt;768px
3. Step numbers still prominent on mobile</t>
  </si>
  <si>
    <t xml:space="preserve">WEB-023</t>
  </si>
  <si>
    <t xml:space="preserve">As a parent, I can select my child's diagnosis to see eligible programs</t>
  </si>
  <si>
    <t xml:space="preserve">Build interactive eligibility tool section. Dark navy/teal gradient background. Diagnosis selector buttons (Autism, ADHD, Intellectual Disability, Down Syndrome). On selection, display program results list.</t>
  </si>
  <si>
    <t xml:space="preserve">1. Section anchored as #eligibility-tool
2. Header with "Free Eligibility Tool"
3. Diagnosis buttons render in wrap layout
4. Selected button shows teal active state
5. Clicking diagnosis loads program list
6. Results appear with smooth transition</t>
  </si>
  <si>
    <t xml:space="preserve">frontend, tool</t>
  </si>
  <si>
    <t xml:space="preserve">Landing Page JSX Eligibility</t>
  </si>
  <si>
    <t xml:space="preserve">WEB-024</t>
  </si>
  <si>
    <t xml:space="preserve">Build program eligibility results display</t>
  </si>
  <si>
    <t xml:space="preserve">For each diagnosis, display the list of eligible programs with name, status badge (color-coded), and description. Status colors: green for Likely Eligible/Mandated, coral for Check/Conditional, teal for other.</t>
  </si>
  <si>
    <t xml:space="preserve">1. Programs listed in card format
2. Status dot (green/coral/teal) matches status text
3. Status badge with colored background
4. Program name in bold white
5. Description in muted text
6. Smooth appear animation on diagnosis change</t>
  </si>
  <si>
    <t xml:space="preserve">Landing Page JSX PROGRAMS data</t>
  </si>
  <si>
    <t xml:space="preserve">WEB-025</t>
  </si>
  <si>
    <t xml:space="preserve">Implement email gate for full eligibility results</t>
  </si>
  <si>
    <t xml:space="preserve">Show first 3 programs for free. Display "X more programs found" message with email input field to unlock all results. On valid email submit, reveal full list and store email in Supabase.</t>
  </si>
  <si>
    <t xml:space="preserve">1. Only 3 programs visible initially
2. "X more programs found" count is correct
3. Email input with validation
4. "Unlock All" button submits email
5. On submit: all programs revealed
6. Email stored in Supabase eligibility_leads table
7. Success message shows with email
8. Invalid email shows inline error</t>
  </si>
  <si>
    <t xml:space="preserve">WEB-023, WEB-004</t>
  </si>
  <si>
    <t xml:space="preserve">frontend, backend, lead-gen</t>
  </si>
  <si>
    <t xml:space="preserve">Landing Page JSX email gate</t>
  </si>
  <si>
    <t xml:space="preserve">WEB-026</t>
  </si>
  <si>
    <t xml:space="preserve">Populate eligibility data for all diagnoses</t>
  </si>
  <si>
    <t xml:space="preserve">Create data structure mapping each diagnosis to its eligible programs. Data sourced from Entity Navigation Matrix and Business Plan.</t>
  </si>
  <si>
    <t xml:space="preserve">1. Autism: 14 programs mapped
2. ADHD: 6 programs mapped
3. Intellectual Disability: 8 programs mapped
4. Down Syndrome: 7 programs mapped
5. Each program has: name, status, description
6. Data in separate TypeScript file</t>
  </si>
  <si>
    <t xml:space="preserve">content, data</t>
  </si>
  <si>
    <t xml:space="preserve">Entity Navigation Matrix</t>
  </si>
  <si>
    <t xml:space="preserve">WEB-027</t>
  </si>
  <si>
    <t xml:space="preserve">Eligibility tool: tracking and conversion events</t>
  </si>
  <si>
    <t xml:space="preserve">Fire analytics events for: diagnosis selected, programs viewed, email submitted, full results unlocked.</t>
  </si>
  <si>
    <t xml:space="preserve">1. diagnosis_selected event with diagnosis name
2. programs_viewed event with count
3. eligibility_email_submitted event
4. full_results_unlocked event
5. Events fire to both GA4 and Plausible</t>
  </si>
  <si>
    <t xml:space="preserve">WEB-005, WEB-023</t>
  </si>
  <si>
    <t xml:space="preserve">analytics, frontend</t>
  </si>
  <si>
    <t xml:space="preserve">GTM Plan metrics</t>
  </si>
  <si>
    <t xml:space="preserve">WEB-028</t>
  </si>
  <si>
    <t xml:space="preserve">Eligibility tool responsive design</t>
  </si>
  <si>
    <t xml:space="preserve">Ensure tool works on all screen sizes. Diagnosis buttons wrap. Program cards stack. Email gate input is full-width on mobile.</t>
  </si>
  <si>
    <t xml:space="preserve">1. Buttons wrap on narrow screens
2. Program cards full-width on mobile
3. Email input responsive
4. Touch targets ≥44px
5. Text readable at all sizes</t>
  </si>
  <si>
    <t xml:space="preserve">WEB-029</t>
  </si>
  <si>
    <t xml:space="preserve">As a parent who unlocked results, I see a confirmation and next step</t>
  </si>
  <si>
    <t xml:space="preserve">After unlocking, show green success message with their email. Message says they'll receive a personalized roadmap. Links to waitlist for full platform access.</t>
  </si>
  <si>
    <t xml:space="preserve">1. Green success banner appears
2. Shows submitted email address
3. Mentions personalized roadmap
4. CTA to join waitlist visible
5. Tracks conversion event</t>
  </si>
  <si>
    <t xml:space="preserve">GTM funnel</t>
  </si>
  <si>
    <t xml:space="preserve">WEB-030</t>
  </si>
  <si>
    <t xml:space="preserve">Eligibility tool: shareable results for viral distribution</t>
  </si>
  <si>
    <t xml:space="preserve">Add "Share these results" button after viewing programs. Generates a share-friendly URL with OG image showing diagnosis and program count.</t>
  </si>
  <si>
    <t xml:space="preserve">1. Share button visible after viewing results
2. Share URL includes diagnosis parameter
3. OG image dynamically shows diagnosis + count
4. Share opens native share sheet on mobile
5. Tracking event on share click</t>
  </si>
  <si>
    <t xml:space="preserve">frontend, viral</t>
  </si>
  <si>
    <t xml:space="preserve">GTM Plan viral loops</t>
  </si>
  <si>
    <t xml:space="preserve">WEB-031</t>
  </si>
  <si>
    <t xml:space="preserve">As a parent, I can select my child's diagnosis and see the full journey from diagnosis to adulthood</t>
  </si>
  <si>
    <t xml:space="preserve">Build interactive Journey Maps section. Diagnosis tabs at top (Autism, Down Syndrome, Cerebral Palsy, ADHD, Intellectual Disability, Epilepsy, Multiple Disabilities). Accordion-style timeline below.</t>
  </si>
  <si>
    <t xml:space="preserve">1. Section anchored as #journey-maps
2. Header with "JOURNEY MAPS"
3. Diagnosis tabs render with icons
4. Active tab shows colored border
5. Tab switching loads different journey
6. Default tab is Autism</t>
  </si>
  <si>
    <t xml:space="preserve">Landing Page JSX Journey Maps</t>
  </si>
  <si>
    <t xml:space="preserve">WEB-032</t>
  </si>
  <si>
    <t xml:space="preserve">Build journey timeline with accordion phases</t>
  </si>
  <si>
    <t xml:space="preserve">Each journey has 3-5 age-based phases. Clicking a phase expands to show: empathetic description, entity cards with actions and timelines, milestone badge, and deadline alert.</t>
  </si>
  <si>
    <t xml:space="preserve">1. Vertical timeline with colored line
2. Phase headers show age band + label
3. Click expands/collapses phase
4. Expanded shows description paragraph
5. Entity cards with name, action, timeline
6. Milestone (green) and Deadline (coral) badges
7. Chevron rotates on expand
8. Smooth open/close animation</t>
  </si>
  <si>
    <t xml:space="preserve">Landing Page JSX JOURNEYS data</t>
  </si>
  <si>
    <t xml:space="preserve">WEB-033</t>
  </si>
  <si>
    <t xml:space="preserve">Populate journey map data for all 7 diagnoses</t>
  </si>
  <si>
    <t xml:space="preserve">Create comprehensive data structure for all diagnosis journeys. Sourced from Entity Navigation Matrix and validated against Lanterman Act, IDEA, and CA disability law.</t>
  </si>
  <si>
    <t xml:space="preserve">1. Autism: 5 phases (0-3, 3-5, 5-13, 14-17, 18+)
2. Down Syndrome: 3 phases
3. Cerebral Palsy: 3 phases
4. ADHD: 3 phases
5. Intellectual Disability: 3 phases
6. Epilepsy: 3 phases
7. Multiple Disabilities: 3 phases
8. Each phase has: description, entities, milestone, alert</t>
  </si>
  <si>
    <t xml:space="preserve">Landing Page JSX JOURNEYS</t>
  </si>
  <si>
    <t xml:space="preserve">WEB-034</t>
  </si>
  <si>
    <t xml:space="preserve">As a parent, I feel emotionally supported by the journey map descriptions</t>
  </si>
  <si>
    <t xml:space="preserve">Each phase description is written in an empathetic, parent-first voice. Not clinical. Validates their feelings and reassures them. Sourced from mockup descriptions.</t>
  </si>
  <si>
    <t xml:space="preserve">1. Descriptions use second person ("you")
2. Tone is warm and supportive
3. Acknowledges emotional difficulty
4. Provides reassurance
5. Content reviewed by parent advisory</t>
  </si>
  <si>
    <t xml:space="preserve">content, ux</t>
  </si>
  <si>
    <t xml:space="preserve">Landing Page JSX descriptions</t>
  </si>
  <si>
    <t xml:space="preserve">WEB-035</t>
  </si>
  <si>
    <t xml:space="preserve">Journey maps responsive design</t>
  </si>
  <si>
    <t xml:space="preserve">Timeline adapts for mobile: timeline line moves to left edge, phase headers stack, entity cards go full-width.</t>
  </si>
  <si>
    <t xml:space="preserve">1. Timeline readable on 375px
2. Phase headers don't overflow
3. Entity cards stack vertically
4. Touch targets adequate
5. Milestone/deadline badges readable</t>
  </si>
  <si>
    <t xml:space="preserve">WEB-036</t>
  </si>
  <si>
    <t xml:space="preserve">Journey maps analytics tracking</t>
  </si>
  <si>
    <t xml:space="preserve">Track which diagnoses are viewed, which phases are expanded, and time spent on journey maps.</t>
  </si>
  <si>
    <t xml:space="preserve">1. journey_diagnosis_selected event
2. journey_phase_expanded event with age
3. journey_section_time event
4. Most-viewed diagnosis tracked</t>
  </si>
  <si>
    <t xml:space="preserve">WEB-005, WEB-031</t>
  </si>
  <si>
    <t xml:space="preserve">analytics</t>
  </si>
  <si>
    <t xml:space="preserve">WEB-037</t>
  </si>
  <si>
    <t xml:space="preserve">Journey map CTA to download full roadmap</t>
  </si>
  <si>
    <t xml:space="preserve">Add CTA at bottom of each journey: "Get your full personalized roadmap" linking to waitlist.</t>
  </si>
  <si>
    <t xml:space="preserve">1. CTA button below last phase
2. Links to #waitlist
3. Different copy per diagnosis
4. Conversion event tracked</t>
  </si>
  <si>
    <t xml:space="preserve">frontend, lead-gen</t>
  </si>
  <si>
    <t xml:space="preserve">WEB-038</t>
  </si>
  <si>
    <t xml:space="preserve">As a visitor, I understand why Waypoint AI is better than generic advice</t>
  </si>
  <si>
    <t xml:space="preserve">Build side-by-side comparison section. Left: red-themed "Generic Advice" card with vague response. Right: teal-themed "Waypoint AI" card with specific, actionable response with citations and draft attachments.</t>
  </si>
  <si>
    <t xml:space="preserve">1. Section header "The AI Difference"
2. 2-column grid layout
3. Left card: red border, generic response
4. Right card: teal border, specific response
5. Waypoint card shows checkmarks + attachments
6. Visual contrast is immediately clear</t>
  </si>
  <si>
    <t xml:space="preserve">Landing Page JSX AI Difference</t>
  </si>
  <si>
    <t xml:space="preserve">WEB-039</t>
  </si>
  <si>
    <t xml:space="preserve">AI Difference responsive: stack cards on mobile</t>
  </si>
  <si>
    <t xml:space="preserve">Cards stack vertically on mobile. "Generic" card above, "Waypoint AI" below.</t>
  </si>
  <si>
    <t xml:space="preserve">1. 2-col at ≥768px
2. 1-col stacked at &lt;768px
3. Cards maintain padding
4. Content readable on mobile</t>
  </si>
  <si>
    <t xml:space="preserve">WEB-040</t>
  </si>
  <si>
    <t xml:space="preserve">AI Difference section copy review</t>
  </si>
  <si>
    <t xml:space="preserve">Ensure comparison copy is accurate. Generic side should reflect actual competitor limitations. Waypoint side should reflect real AI capabilities from the product mockups.</t>
  </si>
  <si>
    <t xml:space="preserve">1. Generic side based on competitor analysis
2. Waypoint side matches actual features
3. Legal citations are real (CA Insurance Code, Parity Act, Lanterman)
4. Copy reviewed for accuracy</t>
  </si>
  <si>
    <t xml:space="preserve">Competitor Analysis, Mockups</t>
  </si>
  <si>
    <t xml:space="preserve">WEB-041</t>
  </si>
  <si>
    <t xml:space="preserve">As a visitor, I can see all the features Waypoint offers</t>
  </si>
  <si>
    <t xml:space="preserve">Build Features section with 3x2 grid of feature cards. Each card has: emoji icon, title, description, and badge (Coming Soon / Preview Live). Cards have hover lift effect.</t>
  </si>
  <si>
    <t xml:space="preserve">1. Section header "Platform Features"
2. 3-column grid of 6 feature cards
3. Each card has icon, title, description, badge
4. Hover: translateY(-4px) + shadow
5. "Preview Live" badge in green, "Coming Soon" in gray
6. Light background with border</t>
  </si>
  <si>
    <t xml:space="preserve">Landing Page JSX FEATURES</t>
  </si>
  <si>
    <t xml:space="preserve">WEB-042</t>
  </si>
  <si>
    <t xml:space="preserve">Features grid responsive: 3-col to 2-col to 1-col</t>
  </si>
  <si>
    <t xml:space="preserve">Feature cards adapt grid layout across breakpoints.</t>
  </si>
  <si>
    <t xml:space="preserve">1. 3-col at ≥1024px
2. 2-col at 640-1023px
3. 1-col at &lt;640px</t>
  </si>
  <si>
    <t xml:space="preserve">WEB-043</t>
  </si>
  <si>
    <t xml:space="preserve">Features section content and badges</t>
  </si>
  <si>
    <t xml:space="preserve">Populate feature cards with data from business plan. AI Navigator, Benefits Checker, IEP Prep, Expense Tracker, Document Vault, Reimbursement Engine.</t>
  </si>
  <si>
    <t xml:space="preserve">1. 6 features match business plan
2. Descriptions accurate to product scope
3. Badges reflect current build status
4. Content reviewed</t>
  </si>
  <si>
    <t xml:space="preserve">Business Plan Module 1-4</t>
  </si>
  <si>
    <t xml:space="preserve">WEB-044</t>
  </si>
  <si>
    <t xml:space="preserve">As a visitor, I connect with the founder's personal story</t>
  </si>
  <si>
    <t xml:space="preserve">Build Founder section with large avatar placeholder (gradient with emoji), teal label "From a Parent Who Gets It", quote from Mike, and bio paragraph.</t>
  </si>
  <si>
    <t xml:space="preserve">1. Avatar placeholder renders
2. Label "From a Parent Who Gets It"
3. Quote in serif font
4. Bio paragraph with background
5. Horizontal layout: avatar left, text right
6. Stacks on mobile</t>
  </si>
  <si>
    <t xml:space="preserve">Landing Page JSX Founder</t>
  </si>
  <si>
    <t xml:space="preserve">WEB-045</t>
  </si>
  <si>
    <t xml:space="preserve">Founder section responsive layout</t>
  </si>
  <si>
    <t xml:space="preserve">Side-by-side on desktop, stacked on mobile. Avatar centers on mobile.</t>
  </si>
  <si>
    <t xml:space="preserve">1. Horizontal at ≥768px
2. Stacked/centered at &lt;768px
3. Quote text scales down on mobile</t>
  </si>
  <si>
    <t xml:space="preserve">WEB-046</t>
  </si>
  <si>
    <t xml:space="preserve">As a visitor, I see credibility stats that build trust</t>
  </si>
  <si>
    <t xml:space="preserve">Build dark navy Stats section with 4 animated counters: 23 Agencies Mapped, 13 Diagnoses Covered, 6 Age Bands, 500+ Hours of Research. Each has teal number, white label, gray sub-label.</t>
  </si>
  <si>
    <t xml:space="preserve">1. Dark navy background
2. 4 stats in horizontal grid
3. Numbers animate on scroll (reuse AnimatedCounter)
4. Teal numbers in serif font
5. White labels, gray sub-labels
6. 4-col → 2-col → 1-col responsive</t>
  </si>
  <si>
    <t xml:space="preserve">Landing Page JSX STATS</t>
  </si>
  <si>
    <t xml:space="preserve">WEB-047</t>
  </si>
  <si>
    <t xml:space="preserve">Stats section responsive grid</t>
  </si>
  <si>
    <t xml:space="preserve">Grid adapts across breakpoints.</t>
  </si>
  <si>
    <t xml:space="preserve">1. 4-col at ≥768px
2. 2-col at &lt;768px
3. Stats centered within cells</t>
  </si>
  <si>
    <t xml:space="preserve">WEB-048</t>
  </si>
  <si>
    <t xml:space="preserve">Validate stats against business plan data</t>
  </si>
  <si>
    <t xml:space="preserve">Ensure all stats are accurate and defensible. Source from Entity Navigation Matrix and research docs.</t>
  </si>
  <si>
    <t xml:space="preserve">1. "23 Agencies" matches Entity Matrix count
2. "13 Diagnoses" matches JOURNEYS + PROGRAMS data
3. "6 Age Bands" matches journey phase structure
4. "500+ Hours" validated by founder</t>
  </si>
  <si>
    <t xml:space="preserve">WEB-049</t>
  </si>
  <si>
    <t xml:space="preserve">As a visitor, I can join the waitlist with my email and role</t>
  </si>
  <si>
    <t xml:space="preserve">Build waitlist section with compass emoji, headline "Join the waitlist", description (early access = 3 months free), email input, role selector (Parent/Caregiver, Provider, Advocate, Other), and submit button.</t>
  </si>
  <si>
    <t xml:space="preserve">1. Section anchored as #waitlist
2. Centered layout with max-width
3. Email input with validation
4. 4 role buttons (only one selected)
5. Submit requires both email + role
6. Teal submit button with shadow
7. Form has light background card</t>
  </si>
  <si>
    <t xml:space="preserve">Landing Page JSX Waitlist</t>
  </si>
  <si>
    <t xml:space="preserve">WEB-050</t>
  </si>
  <si>
    <t xml:space="preserve">Waitlist form submission to Supabase</t>
  </si>
  <si>
    <t xml:space="preserve">On form submit, POST email + role to Supabase edge function. Handle success/error states. Show confirmation screen on success.</t>
  </si>
  <si>
    <t xml:space="preserve">1. POST to Supabase edge function
2. Email stored in waitlist_signups
3. Role stored alongside email
4. UTM params captured from URL
5. Duplicate emails handled gracefully
6. Loading state during submission
7. Error state with retry option
8. Success replaces form with confirmation</t>
  </si>
  <si>
    <t xml:space="preserve">WEB-004, WEB-049</t>
  </si>
  <si>
    <t xml:space="preserve">frontend, backend</t>
  </si>
  <si>
    <t xml:space="preserve">12-Week Plan Week 4</t>
  </si>
  <si>
    <t xml:space="preserve">WEB-051</t>
  </si>
  <si>
    <t xml:space="preserve">As a new waitlist member, I see a confirmation with resources</t>
  </si>
  <si>
    <t xml:space="preserve">After successful signup, form is replaced with: party emoji, "You're on the list!", confirmation email, and 3 free resource links (RC Guide, IEP Rights, Policy Changes).</t>
  </si>
  <si>
    <t xml:space="preserve">1. Confirmation replaces form
2. Shows submitted email address
3. 3 resource links visible
4. Resources link to blog/content pages
5. Share CTA available</t>
  </si>
  <si>
    <t xml:space="preserve">Landing Page JSX confirmation</t>
  </si>
  <si>
    <t xml:space="preserve">WEB-052</t>
  </si>
  <si>
    <t xml:space="preserve">Waitlist conversion tracking</t>
  </si>
  <si>
    <t xml:space="preserve">Fire waitlist_signup event with email (hashed), role, and source. Track conversion funnel from page view to signup.</t>
  </si>
  <si>
    <t xml:space="preserve">1. waitlist_signup event fires on success
2. Includes role property
3. Source/UTM tracked
4. GA4 conversion goal configured
5. Plausible goal configured</t>
  </si>
  <si>
    <t xml:space="preserve">WEB-005, WEB-050</t>
  </si>
  <si>
    <t xml:space="preserve">WEB-053</t>
  </si>
  <si>
    <t xml:space="preserve">Waitlist form accessibility and validation</t>
  </si>
  <si>
    <t xml:space="preserve">Ensure form is fully accessible. Labels, ARIA attributes, keyboard navigation, error announcements, focus management.</t>
  </si>
  <si>
    <t xml:space="preserve">1. All inputs have associated labels
2. Error messages announced to screen readers
3. Form navigable via keyboard
4. Focus moves to confirmation on submit
5. Submit button disabled during loading</t>
  </si>
  <si>
    <t xml:space="preserve">frontend, a11y</t>
  </si>
  <si>
    <t xml:space="preserve">WCAG AA</t>
  </si>
  <si>
    <t xml:space="preserve">WEB-054</t>
  </si>
  <si>
    <t xml:space="preserve">Waitlist section responsive design</t>
  </si>
  <si>
    <t xml:space="preserve">Form card is full-width on mobile. Role buttons wrap. Submit button is full-width.</t>
  </si>
  <si>
    <t xml:space="preserve">1. Card fills viewport on mobile
2. Role buttons wrap to 2x2 grid
3. Submit button full-width on mobile
4. Input font sizes prevent iOS zoom (≥16px)</t>
  </si>
  <si>
    <t xml:space="preserve">WEB-055</t>
  </si>
  <si>
    <t xml:space="preserve">As a visitor, I can find company info and legal links in the footer</t>
  </si>
  <si>
    <t xml:space="preserve">Build footer with dark navy background, teal top border. Logo + tagline left. Product and Company link columns right. Copyright + "Built with love" bottom.</t>
  </si>
  <si>
    <t xml:space="preserve">1. Navy background with teal top border
2. Logo + tagline rendered
3. "Product" column: Features, Eligibility Tool, Journey Maps, Pricing
4. "Company" column: About, Blog, Privacy, HIPAA Notice, Contact
5. Copyright line with year
6. "Built by a parent, for parents" tagline</t>
  </si>
  <si>
    <t xml:space="preserve">Landing Page JSX Footer</t>
  </si>
  <si>
    <t xml:space="preserve">WEB-056</t>
  </si>
  <si>
    <t xml:space="preserve">Footer responsive layout</t>
  </si>
  <si>
    <t xml:space="preserve">Footer columns stack on mobile. Logo section on top, link columns below.</t>
  </si>
  <si>
    <t xml:space="preserve">1. Side-by-side at ≥768px
2. Stacked at &lt;768px
3. Link columns side-by-side on mobile</t>
  </si>
  <si>
    <t xml:space="preserve">WEB-057</t>
  </si>
  <si>
    <t xml:space="preserve">Footer links point to correct pages</t>
  </si>
  <si>
    <t xml:space="preserve">All footer links navigate to proper routes. Legal pages (Privacy, Terms, HIPAA) link to their respective pages.</t>
  </si>
  <si>
    <t xml:space="preserve">1. Product links scroll to sections or link to pages
2. Company links navigate to pages
3. Legal pages exist (even if placeholder)
4. No broken links</t>
  </si>
  <si>
    <t xml:space="preserve">WEB-055, WEB-073</t>
  </si>
  <si>
    <t xml:space="preserve">Legal pages</t>
  </si>
  <si>
    <t xml:space="preserve">WEB-058</t>
  </si>
  <si>
    <t xml:space="preserve">Configure Next.js metadata, OG tags, and structured data</t>
  </si>
  <si>
    <t xml:space="preserve">Set up page title, description, OG image, Twitter card, canonical URL, and JSON-LD structured data for the landing page.</t>
  </si>
  <si>
    <t xml:space="preserve">1. Title: "Waypoint — Every benefit. Every deadline. Mapped."
2. Description optimized for target keywords
3. OG image (1200x630) with Waypoint branding
4. Twitter card configured
5. Canonical URL set
6. JSON-LD Organization schema
7. Robots meta allows indexing</t>
  </si>
  <si>
    <t xml:space="preserve">seo, frontend</t>
  </si>
  <si>
    <t xml:space="preserve">GTM Plan SEO Strategy</t>
  </si>
  <si>
    <t xml:space="preserve">WEB-059</t>
  </si>
  <si>
    <t xml:space="preserve">Generate XML sitemap and robots.txt</t>
  </si>
  <si>
    <t xml:space="preserve">Auto-generate sitemap.xml with all public pages. Configure robots.txt to allow indexing.</t>
  </si>
  <si>
    <t xml:space="preserve">1. sitemap.xml accessible at /sitemap.xml
2. Includes all public pages
3. robots.txt allows all crawlers
4. Sitemap submitted to Google Search Console</t>
  </si>
  <si>
    <t xml:space="preserve">seo, infra</t>
  </si>
  <si>
    <t xml:space="preserve">GTM Plan SEO</t>
  </si>
  <si>
    <t xml:space="preserve">WEB-060</t>
  </si>
  <si>
    <t xml:space="preserve">Lighthouse performance audit: target 90+ on all metrics</t>
  </si>
  <si>
    <t xml:space="preserve">Run Lighthouse audit. Optimize images, fonts, JS bundle, CSS. Target: Performance ≥90, Accessibility ≥95, Best Practices ≥95, SEO ≥95.</t>
  </si>
  <si>
    <t xml:space="preserve">1. Performance score ≥90
2. Accessibility score ≥95
3. Best Practices ≥95
4. SEO score ≥95
5. LCP &lt; 2.5s
6. FID &lt; 100ms
7. CLS &lt; 0.1</t>
  </si>
  <si>
    <t xml:space="preserve">WEB-011 through WEB-055</t>
  </si>
  <si>
    <t xml:space="preserve">performance</t>
  </si>
  <si>
    <t xml:space="preserve">GTM Plan Phase 0 QA</t>
  </si>
  <si>
    <t xml:space="preserve">WEB-061</t>
  </si>
  <si>
    <t xml:space="preserve">Optimize images and fonts for Core Web Vitals</t>
  </si>
  <si>
    <t xml:space="preserve">Use next/image for all images. Self-host Google Fonts. Implement font-display: swap. Lazy load below-fold images.</t>
  </si>
  <si>
    <t xml:space="preserve">1. All images use next/image
2. Fonts self-hosted (no Google Fonts network request)
3. font-display: swap applied
4. Below-fold images lazy loaded
5. OG image optimized</t>
  </si>
  <si>
    <t xml:space="preserve">Core Web Vitals</t>
  </si>
  <si>
    <t xml:space="preserve">WEB-062</t>
  </si>
  <si>
    <t xml:space="preserve">Create OG image for social sharing</t>
  </si>
  <si>
    <t xml:space="preserve">Design 1200x630 OG image with Waypoint branding. Should display well on Facebook, Twitter/X, LinkedIn, and iMessage link previews.</t>
  </si>
  <si>
    <t xml:space="preserve">1. Image is 1200x630px
2. Shows Waypoint logo and tagline
3. Readable at thumbnail size
4. Configured as og:image
5. Displays correctly on FB, Twitter, LinkedIn</t>
  </si>
  <si>
    <t xml:space="preserve">design, seo</t>
  </si>
  <si>
    <t xml:space="preserve">GTM Plan social</t>
  </si>
  <si>
    <t xml:space="preserve">WEB-063</t>
  </si>
  <si>
    <t xml:space="preserve">Implement event tracking for all interactive elements</t>
  </si>
  <si>
    <t xml:space="preserve">Add analytics events for: nav link clicks, CTA clicks, eligibility tool usage, journey map interactions, waitlist signups, scroll depth, time on page.</t>
  </si>
  <si>
    <t xml:space="preserve">1. Events fire for all CTAs
2. Eligibility tool funnel tracked
3. Journey map engagement tracked
4. Scroll depth at 25/50/75/100%
5. Time on page tracked</t>
  </si>
  <si>
    <t xml:space="preserve">WEB-064</t>
  </si>
  <si>
    <t xml:space="preserve">Set up email automation trigger on waitlist signup</t>
  </si>
  <si>
    <t xml:space="preserve">On waitlist signup, trigger 4-email welcome sequence via ConvertKit or Resend. (1) Confirmation, (2) Day 3: Entity Matrix preview, (3) Day 7: Founder story, (4) Day 14: Progress update.</t>
  </si>
  <si>
    <t xml:space="preserve">1. Signup triggers email sequence
2. Email 1 sends immediately
3. Emails 2-4 on schedule
4. Unsubscribe link in all emails
5. CAN-SPAM compliant
6. Open/click tracking active</t>
  </si>
  <si>
    <t xml:space="preserve">backend, email</t>
  </si>
  <si>
    <t xml:space="preserve">GTM Plan Phase 0 Email</t>
  </si>
  <si>
    <t xml:space="preserve">WEB-065</t>
  </si>
  <si>
    <t xml:space="preserve">UTM parameter capture and attribution</t>
  </si>
  <si>
    <t xml:space="preserve">Parse UTM parameters from URL on page load. Store alongside waitlist signups. Pass to analytics tools.</t>
  </si>
  <si>
    <t xml:space="preserve">1. utm_source, utm_medium, utm_campaign captured
2. Stored with waitlist signup
3. Passed to GA4 as properties
4. Available in Supabase for analysis</t>
  </si>
  <si>
    <t xml:space="preserve">WEB-004, WEB-005</t>
  </si>
  <si>
    <t xml:space="preserve">analytics, backend</t>
  </si>
  <si>
    <t xml:space="preserve">GTM acquisition channels</t>
  </si>
  <si>
    <t xml:space="preserve">WEB-066</t>
  </si>
  <si>
    <t xml:space="preserve">Build conversion funnel dashboard in analytics</t>
  </si>
  <si>
    <t xml:space="preserve">Set up funnel tracking: Page Visit → Section Scroll → Tool Interaction → Email Submit → Waitlist Signup.</t>
  </si>
  <si>
    <t xml:space="preserve">1. Funnel defined in GA4
2. Funnel steps: visit → scroll → interact → submit
3. Drop-off rates visible
4. Can segment by source/medium</t>
  </si>
  <si>
    <t xml:space="preserve">GTM metrics framework</t>
  </si>
  <si>
    <t xml:space="preserve">WEB-067</t>
  </si>
  <si>
    <t xml:space="preserve">Cross-device testing: iPhone SE, iPhone 14, iPad, Android</t>
  </si>
  <si>
    <t xml:space="preserve">Test all sections on multiple devices. Fix layout issues, overflow, touch targets, font scaling.</t>
  </si>
  <si>
    <t xml:space="preserve">1. iPhone SE (375px) — no overflow, text readable
2. iPhone 14 (390px) — full functionality
3. iPad (768px) — proper tablet layout
4. Android Chrome — no rendering issues
5. All interactive elements have 44px+ touch targets</t>
  </si>
  <si>
    <t xml:space="preserve">All frontend stories</t>
  </si>
  <si>
    <t xml:space="preserve">qa, mobile</t>
  </si>
  <si>
    <t xml:space="preserve">QA Sprint</t>
  </si>
  <si>
    <t xml:space="preserve">WEB-068</t>
  </si>
  <si>
    <t xml:space="preserve">Cross-browser testing: Chrome, Safari, Firefox, Edge</t>
  </si>
  <si>
    <t xml:space="preserve">Verify rendering and functionality across major browsers.</t>
  </si>
  <si>
    <t xml:space="preserve">1. Chrome: full functionality
2. Safari: no gradient issues, scroll works
3. Firefox: no CSS compatibility issues
4. Edge: renders correctly
5. No console errors in any browser</t>
  </si>
  <si>
    <t xml:space="preserve">qa, browser</t>
  </si>
  <si>
    <t xml:space="preserve">WEB-069</t>
  </si>
  <si>
    <t xml:space="preserve">WCAG AA accessibility audit</t>
  </si>
  <si>
    <t xml:space="preserve">Run axe-core audit. Fix all critical and serious issues. Verify keyboard navigation, color contrast, screen reader compatibility.</t>
  </si>
  <si>
    <t xml:space="preserve">1. Zero critical axe-core violations
2. Zero serious axe-core violations
3. All interactive elements keyboard accessible
4. Color contrast ratios pass AA (4.5:1)
5. Skip-to-content link present
6. Heading hierarchy correct (h1 → h2 → h3)
7. Alt text on all images</t>
  </si>
  <si>
    <t xml:space="preserve">qa, a11y</t>
  </si>
  <si>
    <t xml:space="preserve">WCAG AA compliance</t>
  </si>
  <si>
    <t xml:space="preserve">WEB-070</t>
  </si>
  <si>
    <t xml:space="preserve">Performance testing on slow connections</t>
  </si>
  <si>
    <t xml:space="preserve">Test page load on 3G throttled connection. Ensure interactive elements load progressively.</t>
  </si>
  <si>
    <t xml:space="preserve">1. Page usable within 5s on 3G
2. Text content visible within 2s
3. Interactive tools load progressively
4. No layout shift after initial paint</t>
  </si>
  <si>
    <t xml:space="preserve">qa, performance</t>
  </si>
  <si>
    <t xml:space="preserve">WEB-071</t>
  </si>
  <si>
    <t xml:space="preserve">End-to-end QA: full user flow testing</t>
  </si>
  <si>
    <t xml:space="preserve">Test complete user journeys: (1) Land → scroll → use eligibility tool → join waitlist, (2) Land → read journey map → join waitlist, (3) Mobile user full flow.</t>
  </si>
  <si>
    <t xml:space="preserve">1. Desktop flow 1 completes without errors
2. Desktop flow 2 completes without errors
3. Mobile flow completes without errors
4. All analytics events fire correctly
5. Waitlist data appears in Supabase</t>
  </si>
  <si>
    <t xml:space="preserve">All stories</t>
  </si>
  <si>
    <t xml:space="preserve">qa</t>
  </si>
  <si>
    <t xml:space="preserve">GTM Phase 0 exit criteria</t>
  </si>
  <si>
    <t xml:space="preserve">WEB-072</t>
  </si>
  <si>
    <t xml:space="preserve">Set up ConvertKit/Resend account and API integration</t>
  </si>
  <si>
    <t xml:space="preserve">Create email service account. Configure API keys. Set up email templates with Waypoint branding.</t>
  </si>
  <si>
    <t xml:space="preserve">1. Account created and verified
2. API key stored in env vars
3. Sending domain verified (waypointfamilies.com)
4. Waypoint email template created
5. Test email sends successfully</t>
  </si>
  <si>
    <t xml:space="preserve">GTM Plan email sequence</t>
  </si>
  <si>
    <t xml:space="preserve">WEB-073</t>
  </si>
  <si>
    <t xml:space="preserve">Build 4-email welcome sequence</t>
  </si>
  <si>
    <t xml:space="preserve">Create email content: (1) Confirmation + What to expect, (2) Day 3: 3 programs you might not know about, (3) Day 7: Founder story + invite to share, (4) Day 14: Progress update + early access offer.</t>
  </si>
  <si>
    <t xml:space="preserve">1. Email 1: Welcome + confirmation
2. Email 2: Entity Matrix teaser (3 programs)
3. Email 3: Founder story + referral CTA
4. Email 4: Product update + early access
5. All emails mobile-responsive
6. Unsubscribe in all emails</t>
  </si>
  <si>
    <t xml:space="preserve">content, email</t>
  </si>
  <si>
    <t xml:space="preserve">GTM Plan Phase 0 email</t>
  </si>
  <si>
    <t xml:space="preserve">WEB-074</t>
  </si>
  <si>
    <t xml:space="preserve">Email open/click tracking and segmentation</t>
  </si>
  <si>
    <t xml:space="preserve">Track opens and clicks for each email. Segment subscribers by role and engagement.</t>
  </si>
  <si>
    <t xml:space="preserve">1. Open tracking active
2. Click tracking on all links
3. Segments: Parent, Provider, Advocate
4. Engagement tags applied</t>
  </si>
  <si>
    <t xml:space="preserve">analytics, email</t>
  </si>
  <si>
    <t xml:space="preserve">GTM metrics</t>
  </si>
  <si>
    <t xml:space="preserve">WEB-075</t>
  </si>
  <si>
    <t xml:space="preserve">Eligibility tool email → waitlist nurture integration</t>
  </si>
  <si>
    <t xml:space="preserve">When a user submits email in the eligibility tool, add them to the same email sequence with a different entry tag.</t>
  </si>
  <si>
    <t xml:space="preserve">1. Eligibility emails tagged as "eligibility_lead"
2. Same welcome sequence but different first email
3. First email includes their diagnosis results
4. Merges with waitlist if they sign up later</t>
  </si>
  <si>
    <t xml:space="preserve">WEB-025, WEB-072</t>
  </si>
  <si>
    <t xml:space="preserve">GTM lead nurture</t>
  </si>
  <si>
    <t xml:space="preserve">WEB-076</t>
  </si>
  <si>
    <t xml:space="preserve">Create Privacy Policy page</t>
  </si>
  <si>
    <t xml:space="preserve">Draft and publish Privacy Policy covering data collection, usage, storage, and rights. Emphasize: no data sold, HIPAA-grade security, CCPA compliance.</t>
  </si>
  <si>
    <t xml:space="preserve">1. /privacy page exists
2. Covers data collection practices
3. CCPA rights section
4. No data sold statement
5. Contact information
6. Last updated date</t>
  </si>
  <si>
    <t xml:space="preserve">content, legal</t>
  </si>
  <si>
    <t xml:space="preserve">Business Plan Section 12</t>
  </si>
  <si>
    <t xml:space="preserve">WEB-077</t>
  </si>
  <si>
    <t xml:space="preserve">Create Terms of Service page</t>
  </si>
  <si>
    <t xml:space="preserve">Draft and publish Terms of Service. Cover: legal information not legal advice, disclaimers, acceptable use, liability limitations.</t>
  </si>
  <si>
    <t xml:space="preserve">1. /terms page exists
2. "Information not advice" disclaimer
3. User responsibilities defined
4. Liability limitations
5. Governing law: California</t>
  </si>
  <si>
    <t xml:space="preserve">WEB-078</t>
  </si>
  <si>
    <t xml:space="preserve">Create HIPAA Notice page</t>
  </si>
  <si>
    <t xml:space="preserve">Draft HIPAA notice explaining data handling practices for health-related information.</t>
  </si>
  <si>
    <t xml:space="preserve">1. /hipaa page exists
2. Explains data encryption
3. Describes access controls
4. States not a covered entity but follows HIPAA best practices</t>
  </si>
  <si>
    <t xml:space="preserve">WEB-079</t>
  </si>
  <si>
    <t xml:space="preserve">Set up blog scaffold for SEO content</t>
  </si>
  <si>
    <t xml:space="preserve">Create /blog route with MDX support. Prepare template for first 4 blog posts. This scaffolds the content engine from GTM Phase 0.</t>
  </si>
  <si>
    <t xml:space="preserve">1. /blog route renders list of posts
2. Individual post pages with MDX
3. Post template with title, date, author, tags
4. 4 placeholder posts matching GTM plan
5. SEO meta tags per post</t>
  </si>
  <si>
    <t xml:space="preserve">frontend, content, seo</t>
  </si>
  <si>
    <t xml:space="preserve">GTM Plan Content Pillars</t>
  </si>
  <si>
    <t xml:space="preserve">WAYPOINT Website — Sprint Schedule</t>
  </si>
  <si>
    <t xml:space="preserve">Dates</t>
  </si>
  <si>
    <t xml:space="preserve">Focus</t>
  </si>
  <si>
    <t xml:space="preserve">Exit Criteria</t>
  </si>
  <si>
    <t xml:space="preserve">Milestone</t>
  </si>
  <si>
    <t xml:space="preserve">Sprint 0
(Week 1)</t>
  </si>
  <si>
    <t xml:space="preserve">Day 1-3</t>
  </si>
  <si>
    <t xml:space="preserve">WEB-001 to WEB-006</t>
  </si>
  <si>
    <t xml:space="preserve">Next.js app deploys to Vercel, Supabase ready, analytics configured, design system tokens set</t>
  </si>
  <si>
    <t xml:space="preserve">Infrastructure Ready</t>
  </si>
  <si>
    <t xml:space="preserve">Sprint 1
(Week 1-2)</t>
  </si>
  <si>
    <t xml:space="preserve">Day 3-7</t>
  </si>
  <si>
    <t xml:space="preserve">Core Layout: Nav, Hero, Problem, How It Works</t>
  </si>
  <si>
    <t xml:space="preserve">WEB-007 to WEB-022</t>
  </si>
  <si>
    <t xml:space="preserve">52</t>
  </si>
  <si>
    <t xml:space="preserve">All above-fold sections render, typewriter animation works, counters animate, responsive on mobile</t>
  </si>
  <si>
    <t xml:space="preserve">Above-the-Fold Complete</t>
  </si>
  <si>
    <t xml:space="preserve">Sprint 2
(Week 2-3)</t>
  </si>
  <si>
    <t xml:space="preserve">Day 8-14</t>
  </si>
  <si>
    <t xml:space="preserve">Interactive Tools: Eligibility + Journey Maps + Features</t>
  </si>
  <si>
    <t xml:space="preserve">WEB-023 to WEB-043</t>
  </si>
  <si>
    <t xml:space="preserve">70</t>
  </si>
  <si>
    <t xml:space="preserve">Eligibility tool functional with email gate, journey maps interactive with all 7 diagnoses, features grid complete</t>
  </si>
  <si>
    <t xml:space="preserve">Interactive Tools Live</t>
  </si>
  <si>
    <t xml:space="preserve">Sprint 3
(Week 3-4)</t>
  </si>
  <si>
    <t xml:space="preserve">Day 15-21</t>
  </si>
  <si>
    <t xml:space="preserve">Conversion: Waitlist, Footer, SEO, Analytics</t>
  </si>
  <si>
    <t xml:space="preserve">WEB-044 to WEB-066</t>
  </si>
  <si>
    <t xml:space="preserve">62</t>
  </si>
  <si>
    <t xml:space="preserve">Waitlist form submits to Supabase, email automation triggers, SEO configured, Lighthouse ≥90, all analytics events firing</t>
  </si>
  <si>
    <t xml:space="preserve">Conversion Pipeline Active</t>
  </si>
  <si>
    <t xml:space="preserve">Sprint 4
(Week 4)</t>
  </si>
  <si>
    <t xml:space="preserve">Day 22-28</t>
  </si>
  <si>
    <t xml:space="preserve">QA, Polish, Legal, Email Sequences, Launch</t>
  </si>
  <si>
    <t xml:space="preserve">WEB-067 to WEB-079</t>
  </si>
  <si>
    <t xml:space="preserve">34</t>
  </si>
  <si>
    <t xml:space="preserve">Cross-device/browser tested, WCAG AA, 4-email sequence live, legal pages published, end-to-end flows verified</t>
  </si>
  <si>
    <t xml:space="preserve">WEBSITE LAUNCH</t>
  </si>
  <si>
    <t xml:space="preserve">WAYPOINT Website — Status Tracker (Update Weekly)</t>
  </si>
  <si>
    <t xml:space="preserve">Total Stories</t>
  </si>
  <si>
    <t xml:space="preserve">In Progress</t>
  </si>
  <si>
    <t xml:space="preserve">Done</t>
  </si>
  <si>
    <t xml:space="preserve">% Complete</t>
  </si>
  <si>
    <t xml:space="preserve">E-01: Setup &amp; Infrastructure</t>
  </si>
  <si>
    <t xml:space="preserve">E-02: Navigation</t>
  </si>
  <si>
    <t xml:space="preserve">E-03: Hero Section</t>
  </si>
  <si>
    <t xml:space="preserve">E-04: Problem Statement</t>
  </si>
  <si>
    <t xml:space="preserve">E-05: How It Works</t>
  </si>
  <si>
    <t xml:space="preserve">E-06: Eligibility Tool</t>
  </si>
  <si>
    <t xml:space="preserve">E-07: Journey Maps</t>
  </si>
  <si>
    <t xml:space="preserve">E-08: AI Difference</t>
  </si>
  <si>
    <t xml:space="preserve">E-09: Features</t>
  </si>
  <si>
    <t xml:space="preserve">E-10: Founder</t>
  </si>
  <si>
    <t xml:space="preserve">E-11: Stats</t>
  </si>
  <si>
    <t xml:space="preserve">E-12: Waitlist/CTA</t>
  </si>
  <si>
    <t xml:space="preserve">E-13: Footer</t>
  </si>
  <si>
    <t xml:space="preserve">E-14: SEO &amp; Performance</t>
  </si>
  <si>
    <t xml:space="preserve">E-15: Analytics</t>
  </si>
  <si>
    <t xml:space="preserve">E-16: Responsive &amp; QA</t>
  </si>
  <si>
    <t xml:space="preserve">E-17: Email Automation</t>
  </si>
  <si>
    <t xml:space="preserve">E-18: Content &amp; Legal</t>
  </si>
  <si>
    <t xml:space="preserve">WAYPOINT Website — Technical Architecture</t>
  </si>
  <si>
    <t xml:space="preserve">Layer</t>
  </si>
  <si>
    <t xml:space="preserve">Technology</t>
  </si>
  <si>
    <t xml:space="preserve">Purpose</t>
  </si>
  <si>
    <t xml:space="preserve">Notes</t>
  </si>
  <si>
    <t xml:space="preserve">Framework</t>
  </si>
  <si>
    <t xml:space="preserve">Next.js 14 (App Router)</t>
  </si>
  <si>
    <t xml:space="preserve">SSR/SSG, routing, API routes</t>
  </si>
  <si>
    <t xml:space="preserve">TypeScript strict mode</t>
  </si>
  <si>
    <t xml:space="preserve">Styling</t>
  </si>
  <si>
    <t xml:space="preserve">Tailwind CSS</t>
  </si>
  <si>
    <t xml:space="preserve">Utility-first CSS framework</t>
  </si>
  <si>
    <t xml:space="preserve">Extended with Waypoint design tokens</t>
  </si>
  <si>
    <t xml:space="preserve">Hosting</t>
  </si>
  <si>
    <t xml:space="preserve">Vercel</t>
  </si>
  <si>
    <t xml:space="preserve">Edge deployment, preview URLs</t>
  </si>
  <si>
    <t xml:space="preserve">Auto-deploy from GitHub main branch</t>
  </si>
  <si>
    <t xml:space="preserve">Backend/DB</t>
  </si>
  <si>
    <t xml:space="preserve">Supabase</t>
  </si>
  <si>
    <t xml:space="preserve">Waitlist storage, email leads, RLS</t>
  </si>
  <si>
    <t xml:space="preserve">PostgreSQL with Row Level Security</t>
  </si>
  <si>
    <t xml:space="preserve">Email</t>
  </si>
  <si>
    <t xml:space="preserve">ConvertKit or Resend</t>
  </si>
  <si>
    <t xml:space="preserve">Welcome sequence automation</t>
  </si>
  <si>
    <t xml:space="preserve">4-email nurture series</t>
  </si>
  <si>
    <t xml:space="preserve">Analytics</t>
  </si>
  <si>
    <t xml:space="preserve">GA4 + Plausible</t>
  </si>
  <si>
    <t xml:space="preserve">Conversion tracking, funnel analysis</t>
  </si>
  <si>
    <t xml:space="preserve">Dual tracking for privacy compliance</t>
  </si>
  <si>
    <t xml:space="preserve">Fonts</t>
  </si>
  <si>
    <t xml:space="preserve">DM Sans + DM Serif Display</t>
  </si>
  <si>
    <t xml:space="preserve">Brand typography</t>
  </si>
  <si>
    <t xml:space="preserve">Self-hosted for performance</t>
  </si>
  <si>
    <t xml:space="preserve">Domain</t>
  </si>
  <si>
    <t xml:space="preserve">waypointfamilies.com</t>
  </si>
  <si>
    <t xml:space="preserve">Primary domain</t>
  </si>
  <si>
    <t xml:space="preserve">Cloudflare DNS, Vercel SSL</t>
  </si>
  <si>
    <t xml:space="preserve">CI/CD</t>
  </si>
  <si>
    <t xml:space="preserve">GitHub Actions + Vercel</t>
  </si>
  <si>
    <t xml:space="preserve">Automated builds, preview deploys</t>
  </si>
  <si>
    <t xml:space="preserve">Lint + type-check on PR</t>
  </si>
  <si>
    <t xml:space="preserve">SEO</t>
  </si>
  <si>
    <t xml:space="preserve">Next.js Metadata API</t>
  </si>
  <si>
    <t xml:space="preserve">OG tags, sitemap, structured data</t>
  </si>
  <si>
    <t xml:space="preserve">JSON-LD for Organization</t>
  </si>
  <si>
    <t xml:space="preserve">A11y</t>
  </si>
  <si>
    <t xml:space="preserve">axe-core + manual audit</t>
  </si>
  <si>
    <t xml:space="preserve">Automated + manual testing</t>
  </si>
  <si>
    <t xml:space="preserve">Performance</t>
  </si>
  <si>
    <t xml:space="preserve">Lighthouse CI</t>
  </si>
  <si>
    <t xml:space="preserve">Core Web Vitals monitoring</t>
  </si>
  <si>
    <t xml:space="preserve">Target: 90+ all categories</t>
  </si>
</sst>
</file>

<file path=xl/styles.xml><?xml version="1.0" encoding="utf-8"?>
<styleSheet xmlns="http://schemas.openxmlformats.org/spreadsheetml/2006/main">
  <numFmts count="2">
    <numFmt numFmtId="164" formatCode="General"/>
    <numFmt numFmtId="165" formatCode="0%"/>
  </numFmts>
  <fonts count="15">
    <font>
      <sz val="11"/>
      <color theme="1"/>
      <name val="Calibri"/>
      <family val="2"/>
      <charset val="1"/>
    </font>
    <font>
      <sz val="10"/>
      <name val="Arial"/>
      <family val="0"/>
    </font>
    <font>
      <sz val="10"/>
      <name val="Arial"/>
      <family val="0"/>
    </font>
    <font>
      <sz val="10"/>
      <name val="Arial"/>
      <family val="0"/>
    </font>
    <font>
      <b val="true"/>
      <sz val="18"/>
      <color rgb="FF1B2A4A"/>
      <name val="Arial"/>
      <family val="0"/>
      <charset val="1"/>
    </font>
    <font>
      <i val="true"/>
      <sz val="12"/>
      <color rgb="FF64748B"/>
      <name val="Arial"/>
      <family val="0"/>
      <charset val="1"/>
    </font>
    <font>
      <sz val="10"/>
      <color rgb="FF64748B"/>
      <name val="Arial"/>
      <family val="0"/>
      <charset val="1"/>
    </font>
    <font>
      <b val="true"/>
      <sz val="10"/>
      <color rgb="FF1B2A4A"/>
      <name val="Arial"/>
      <family val="0"/>
      <charset val="1"/>
    </font>
    <font>
      <sz val="10"/>
      <color rgb="FF334155"/>
      <name val="Arial"/>
      <family val="0"/>
      <charset val="1"/>
    </font>
    <font>
      <b val="true"/>
      <sz val="13"/>
      <color rgb="FF1B2A4A"/>
      <name val="Arial"/>
      <family val="0"/>
      <charset val="1"/>
    </font>
    <font>
      <b val="true"/>
      <sz val="11"/>
      <color rgb="FFFFFFFF"/>
      <name val="Arial"/>
      <family val="0"/>
      <charset val="1"/>
    </font>
    <font>
      <b val="true"/>
      <sz val="11"/>
      <color rgb="FF1B2A4A"/>
      <name val="Arial"/>
      <family val="0"/>
      <charset val="1"/>
    </font>
    <font>
      <b val="true"/>
      <sz val="14"/>
      <color rgb="FF1B2A4A"/>
      <name val="Arial"/>
      <family val="0"/>
      <charset val="1"/>
    </font>
    <font>
      <b val="true"/>
      <sz val="10"/>
      <color rgb="FFDC2626"/>
      <name val="Arial"/>
      <family val="0"/>
      <charset val="1"/>
    </font>
    <font>
      <b val="true"/>
      <sz val="10"/>
      <color rgb="FFD97706"/>
      <name val="Arial"/>
      <family val="0"/>
      <charset val="1"/>
    </font>
  </fonts>
  <fills count="5">
    <fill>
      <patternFill patternType="none"/>
    </fill>
    <fill>
      <patternFill patternType="gray125"/>
    </fill>
    <fill>
      <patternFill patternType="solid">
        <fgColor rgb="FFF8FAFC"/>
        <bgColor rgb="FFFFFFFF"/>
      </patternFill>
    </fill>
    <fill>
      <patternFill patternType="solid">
        <fgColor rgb="FF1B2A4A"/>
        <bgColor rgb="FF334155"/>
      </patternFill>
    </fill>
    <fill>
      <patternFill patternType="solid">
        <fgColor rgb="FFFFFFFF"/>
        <bgColor rgb="FFF8FAFC"/>
      </patternFill>
    </fill>
  </fills>
  <borders count="3">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E2E8F0"/>
      </left>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2"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4" fillId="2"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5" fontId="11"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891B2"/>
      <rgbColor rgb="FFC0C0C0"/>
      <rgbColor rgb="FF808080"/>
      <rgbColor rgb="FF9999FF"/>
      <rgbColor rgb="FF7C3AED"/>
      <rgbColor rgb="FFF8FAF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97706"/>
      <rgbColor rgb="FFF97316"/>
      <rgbColor rgb="FF64748B"/>
      <rgbColor rgb="FF969696"/>
      <rgbColor rgb="FF1B2A4A"/>
      <rgbColor rgb="FF10B981"/>
      <rgbColor rgb="FF003300"/>
      <rgbColor rgb="FF333300"/>
      <rgbColor rgb="FF993300"/>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35"/>
    <col collapsed="false" customWidth="true" hidden="false" outlineLevel="0" max="3" min="3" style="0" width="10"/>
    <col collapsed="false" customWidth="true" hidden="false" outlineLevel="0" max="5" min="4" style="0" width="12"/>
    <col collapsed="false" customWidth="true" hidden="false" outlineLevel="0" max="6" min="6" style="0" width="10"/>
    <col collapsed="false" customWidth="true" hidden="false" outlineLevel="0" max="7" min="7" style="0" width="14"/>
    <col collapsed="false" customWidth="true" hidden="false" outlineLevel="0" max="8" min="8" style="0" width="60"/>
  </cols>
  <sheetData>
    <row r="1" customFormat="false" ht="36" hidden="false" customHeight="tru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4" customFormat="false" ht="15" hidden="false" customHeight="false" outlineLevel="0" collapsed="false">
      <c r="A14" s="4" t="s">
        <v>21</v>
      </c>
      <c r="B14" s="5" t="s">
        <v>22</v>
      </c>
      <c r="C14" s="5"/>
      <c r="D14" s="5"/>
      <c r="E14" s="5"/>
      <c r="F14" s="5"/>
      <c r="G14" s="5"/>
      <c r="H14" s="5"/>
    </row>
    <row r="16" customFormat="false" ht="16.15" hidden="false" customHeight="false" outlineLevel="0" collapsed="false">
      <c r="A16" s="6" t="s">
        <v>23</v>
      </c>
      <c r="B16" s="6"/>
      <c r="C16" s="6"/>
      <c r="D16" s="6"/>
      <c r="E16" s="6"/>
      <c r="F16" s="6"/>
      <c r="G16" s="6"/>
      <c r="H16" s="6"/>
    </row>
    <row r="17" customFormat="false" ht="15" hidden="false" customHeight="false" outlineLevel="0" collapsed="false">
      <c r="A17" s="7" t="s">
        <v>24</v>
      </c>
      <c r="B17" s="7" t="s">
        <v>25</v>
      </c>
      <c r="C17" s="7" t="s">
        <v>26</v>
      </c>
      <c r="D17" s="7" t="s">
        <v>27</v>
      </c>
      <c r="E17" s="7" t="s">
        <v>28</v>
      </c>
      <c r="F17" s="7" t="s">
        <v>11</v>
      </c>
      <c r="G17" s="7" t="s">
        <v>29</v>
      </c>
      <c r="H17" s="7" t="s">
        <v>30</v>
      </c>
    </row>
    <row r="18" customFormat="false" ht="15" hidden="false" customHeight="false" outlineLevel="0" collapsed="false">
      <c r="A18" s="8" t="s">
        <v>31</v>
      </c>
      <c r="B18" s="8" t="s">
        <v>32</v>
      </c>
      <c r="C18" s="8" t="s">
        <v>33</v>
      </c>
      <c r="D18" s="8" t="s">
        <v>34</v>
      </c>
      <c r="E18" s="8" t="s">
        <v>35</v>
      </c>
      <c r="F18" s="8" t="s">
        <v>36</v>
      </c>
      <c r="G18" s="8" t="s">
        <v>37</v>
      </c>
      <c r="H18" s="9" t="s">
        <v>38</v>
      </c>
    </row>
    <row r="19" customFormat="false" ht="15" hidden="false" customHeight="false" outlineLevel="0" collapsed="false">
      <c r="A19" s="10" t="s">
        <v>39</v>
      </c>
      <c r="B19" s="10" t="s">
        <v>40</v>
      </c>
      <c r="C19" s="10" t="s">
        <v>41</v>
      </c>
      <c r="D19" s="10" t="s">
        <v>42</v>
      </c>
      <c r="E19" s="10" t="s">
        <v>43</v>
      </c>
      <c r="F19" s="10" t="s">
        <v>36</v>
      </c>
      <c r="G19" s="8" t="s">
        <v>37</v>
      </c>
      <c r="H19" s="11" t="s">
        <v>44</v>
      </c>
    </row>
    <row r="20" customFormat="false" ht="15" hidden="false" customHeight="false" outlineLevel="0" collapsed="false">
      <c r="A20" s="8" t="s">
        <v>45</v>
      </c>
      <c r="B20" s="8" t="s">
        <v>46</v>
      </c>
      <c r="C20" s="8" t="s">
        <v>47</v>
      </c>
      <c r="D20" s="8" t="s">
        <v>48</v>
      </c>
      <c r="E20" s="8" t="s">
        <v>43</v>
      </c>
      <c r="F20" s="8" t="s">
        <v>36</v>
      </c>
      <c r="G20" s="8" t="s">
        <v>37</v>
      </c>
      <c r="H20" s="9" t="s">
        <v>49</v>
      </c>
    </row>
    <row r="21" customFormat="false" ht="15" hidden="false" customHeight="false" outlineLevel="0" collapsed="false">
      <c r="A21" s="10" t="s">
        <v>50</v>
      </c>
      <c r="B21" s="10" t="s">
        <v>51</v>
      </c>
      <c r="C21" s="10" t="s">
        <v>41</v>
      </c>
      <c r="D21" s="10" t="s">
        <v>42</v>
      </c>
      <c r="E21" s="10" t="s">
        <v>43</v>
      </c>
      <c r="F21" s="10" t="s">
        <v>52</v>
      </c>
      <c r="G21" s="8" t="s">
        <v>37</v>
      </c>
      <c r="H21" s="11" t="s">
        <v>53</v>
      </c>
    </row>
    <row r="22" customFormat="false" ht="15" hidden="false" customHeight="false" outlineLevel="0" collapsed="false">
      <c r="A22" s="8" t="s">
        <v>54</v>
      </c>
      <c r="B22" s="8" t="s">
        <v>55</v>
      </c>
      <c r="C22" s="8" t="s">
        <v>56</v>
      </c>
      <c r="D22" s="8" t="s">
        <v>57</v>
      </c>
      <c r="E22" s="8" t="s">
        <v>43</v>
      </c>
      <c r="F22" s="8" t="s">
        <v>52</v>
      </c>
      <c r="G22" s="8" t="s">
        <v>37</v>
      </c>
      <c r="H22" s="9" t="s">
        <v>58</v>
      </c>
    </row>
    <row r="23" customFormat="false" ht="15" hidden="false" customHeight="false" outlineLevel="0" collapsed="false">
      <c r="A23" s="10" t="s">
        <v>59</v>
      </c>
      <c r="B23" s="10" t="s">
        <v>60</v>
      </c>
      <c r="C23" s="10" t="s">
        <v>57</v>
      </c>
      <c r="D23" s="10" t="s">
        <v>61</v>
      </c>
      <c r="E23" s="10" t="s">
        <v>62</v>
      </c>
      <c r="F23" s="10" t="s">
        <v>36</v>
      </c>
      <c r="G23" s="8" t="s">
        <v>37</v>
      </c>
      <c r="H23" s="11" t="s">
        <v>63</v>
      </c>
    </row>
    <row r="24" customFormat="false" ht="15" hidden="false" customHeight="false" outlineLevel="0" collapsed="false">
      <c r="A24" s="8" t="s">
        <v>64</v>
      </c>
      <c r="B24" s="8" t="s">
        <v>65</v>
      </c>
      <c r="C24" s="8" t="s">
        <v>66</v>
      </c>
      <c r="D24" s="8" t="s">
        <v>67</v>
      </c>
      <c r="E24" s="8" t="s">
        <v>62</v>
      </c>
      <c r="F24" s="8" t="s">
        <v>36</v>
      </c>
      <c r="G24" s="8" t="s">
        <v>37</v>
      </c>
      <c r="H24" s="9" t="s">
        <v>68</v>
      </c>
    </row>
    <row r="25" customFormat="false" ht="15" hidden="false" customHeight="false" outlineLevel="0" collapsed="false">
      <c r="A25" s="10" t="s">
        <v>69</v>
      </c>
      <c r="B25" s="10" t="s">
        <v>70</v>
      </c>
      <c r="C25" s="10" t="s">
        <v>56</v>
      </c>
      <c r="D25" s="10" t="s">
        <v>57</v>
      </c>
      <c r="E25" s="10" t="s">
        <v>62</v>
      </c>
      <c r="F25" s="10" t="s">
        <v>52</v>
      </c>
      <c r="G25" s="8" t="s">
        <v>37</v>
      </c>
      <c r="H25" s="11" t="s">
        <v>71</v>
      </c>
    </row>
    <row r="26" customFormat="false" ht="15" hidden="false" customHeight="false" outlineLevel="0" collapsed="false">
      <c r="A26" s="8" t="s">
        <v>72</v>
      </c>
      <c r="B26" s="8" t="s">
        <v>73</v>
      </c>
      <c r="C26" s="8" t="s">
        <v>56</v>
      </c>
      <c r="D26" s="8" t="s">
        <v>57</v>
      </c>
      <c r="E26" s="8" t="s">
        <v>62</v>
      </c>
      <c r="F26" s="8" t="s">
        <v>52</v>
      </c>
      <c r="G26" s="8" t="s">
        <v>37</v>
      </c>
      <c r="H26" s="9" t="s">
        <v>74</v>
      </c>
    </row>
    <row r="27" customFormat="false" ht="15" hidden="false" customHeight="false" outlineLevel="0" collapsed="false">
      <c r="A27" s="10" t="s">
        <v>75</v>
      </c>
      <c r="B27" s="10" t="s">
        <v>76</v>
      </c>
      <c r="C27" s="10" t="s">
        <v>77</v>
      </c>
      <c r="D27" s="10" t="s">
        <v>41</v>
      </c>
      <c r="E27" s="10" t="s">
        <v>78</v>
      </c>
      <c r="F27" s="10" t="s">
        <v>52</v>
      </c>
      <c r="G27" s="8" t="s">
        <v>37</v>
      </c>
      <c r="H27" s="11" t="s">
        <v>79</v>
      </c>
    </row>
    <row r="28" customFormat="false" ht="15" hidden="false" customHeight="false" outlineLevel="0" collapsed="false">
      <c r="A28" s="8" t="s">
        <v>80</v>
      </c>
      <c r="B28" s="8" t="s">
        <v>81</v>
      </c>
      <c r="C28" s="8" t="s">
        <v>56</v>
      </c>
      <c r="D28" s="8" t="s">
        <v>57</v>
      </c>
      <c r="E28" s="8" t="s">
        <v>78</v>
      </c>
      <c r="F28" s="8" t="s">
        <v>52</v>
      </c>
      <c r="G28" s="8" t="s">
        <v>37</v>
      </c>
      <c r="H28" s="9" t="s">
        <v>82</v>
      </c>
    </row>
    <row r="29" customFormat="false" ht="15" hidden="false" customHeight="false" outlineLevel="0" collapsed="false">
      <c r="A29" s="10" t="s">
        <v>83</v>
      </c>
      <c r="B29" s="10" t="s">
        <v>84</v>
      </c>
      <c r="C29" s="10" t="s">
        <v>33</v>
      </c>
      <c r="D29" s="10" t="s">
        <v>34</v>
      </c>
      <c r="E29" s="10" t="s">
        <v>78</v>
      </c>
      <c r="F29" s="10" t="s">
        <v>36</v>
      </c>
      <c r="G29" s="8" t="s">
        <v>37</v>
      </c>
      <c r="H29" s="11" t="s">
        <v>85</v>
      </c>
    </row>
    <row r="30" customFormat="false" ht="15" hidden="false" customHeight="false" outlineLevel="0" collapsed="false">
      <c r="A30" s="8" t="s">
        <v>86</v>
      </c>
      <c r="B30" s="8" t="s">
        <v>87</v>
      </c>
      <c r="C30" s="8" t="s">
        <v>56</v>
      </c>
      <c r="D30" s="8" t="s">
        <v>33</v>
      </c>
      <c r="E30" s="8" t="s">
        <v>78</v>
      </c>
      <c r="F30" s="8" t="s">
        <v>52</v>
      </c>
      <c r="G30" s="8" t="s">
        <v>37</v>
      </c>
      <c r="H30" s="9" t="s">
        <v>88</v>
      </c>
    </row>
    <row r="31" customFormat="false" ht="15" hidden="false" customHeight="false" outlineLevel="0" collapsed="false">
      <c r="A31" s="10" t="s">
        <v>89</v>
      </c>
      <c r="B31" s="10" t="s">
        <v>90</v>
      </c>
      <c r="C31" s="10" t="s">
        <v>47</v>
      </c>
      <c r="D31" s="10" t="s">
        <v>91</v>
      </c>
      <c r="E31" s="10" t="s">
        <v>78</v>
      </c>
      <c r="F31" s="10" t="s">
        <v>36</v>
      </c>
      <c r="G31" s="8" t="s">
        <v>37</v>
      </c>
      <c r="H31" s="11" t="s">
        <v>92</v>
      </c>
    </row>
    <row r="32" customFormat="false" ht="15" hidden="false" customHeight="false" outlineLevel="0" collapsed="false">
      <c r="A32" s="8" t="s">
        <v>93</v>
      </c>
      <c r="B32" s="8" t="s">
        <v>94</v>
      </c>
      <c r="C32" s="8" t="s">
        <v>41</v>
      </c>
      <c r="D32" s="8" t="s">
        <v>42</v>
      </c>
      <c r="E32" s="8" t="s">
        <v>78</v>
      </c>
      <c r="F32" s="8" t="s">
        <v>36</v>
      </c>
      <c r="G32" s="8" t="s">
        <v>37</v>
      </c>
      <c r="H32" s="9" t="s">
        <v>95</v>
      </c>
    </row>
    <row r="33" customFormat="false" ht="15" hidden="false" customHeight="false" outlineLevel="0" collapsed="false">
      <c r="A33" s="10" t="s">
        <v>96</v>
      </c>
      <c r="B33" s="10" t="s">
        <v>97</v>
      </c>
      <c r="C33" s="10" t="s">
        <v>47</v>
      </c>
      <c r="D33" s="10" t="s">
        <v>98</v>
      </c>
      <c r="E33" s="10" t="s">
        <v>99</v>
      </c>
      <c r="F33" s="10" t="s">
        <v>36</v>
      </c>
      <c r="G33" s="8" t="s">
        <v>37</v>
      </c>
      <c r="H33" s="11" t="s">
        <v>100</v>
      </c>
    </row>
    <row r="34" customFormat="false" ht="15" hidden="false" customHeight="false" outlineLevel="0" collapsed="false">
      <c r="A34" s="8" t="s">
        <v>101</v>
      </c>
      <c r="B34" s="8" t="s">
        <v>102</v>
      </c>
      <c r="C34" s="8" t="s">
        <v>41</v>
      </c>
      <c r="D34" s="8" t="s">
        <v>42</v>
      </c>
      <c r="E34" s="8" t="s">
        <v>99</v>
      </c>
      <c r="F34" s="8" t="s">
        <v>52</v>
      </c>
      <c r="G34" s="8" t="s">
        <v>37</v>
      </c>
      <c r="H34" s="9" t="s">
        <v>103</v>
      </c>
    </row>
    <row r="35" customFormat="false" ht="15" hidden="false" customHeight="false" outlineLevel="0" collapsed="false">
      <c r="A35" s="10" t="s">
        <v>104</v>
      </c>
      <c r="B35" s="10" t="s">
        <v>105</v>
      </c>
      <c r="C35" s="10" t="s">
        <v>41</v>
      </c>
      <c r="D35" s="10" t="s">
        <v>57</v>
      </c>
      <c r="E35" s="10" t="s">
        <v>99</v>
      </c>
      <c r="F35" s="10" t="s">
        <v>52</v>
      </c>
      <c r="G35" s="8" t="s">
        <v>37</v>
      </c>
      <c r="H35" s="11" t="s">
        <v>106</v>
      </c>
    </row>
    <row r="36" customFormat="false" ht="15" hidden="false" customHeight="false" outlineLevel="0" collapsed="false">
      <c r="A36" s="12"/>
      <c r="B36" s="13" t="s">
        <v>107</v>
      </c>
      <c r="C36" s="14" t="n">
        <f aca="false">SUM(C17:C34)</f>
        <v>0</v>
      </c>
      <c r="D36" s="14" t="n">
        <f aca="false">SUM(D17:D34)</f>
        <v>0</v>
      </c>
      <c r="E36" s="12"/>
      <c r="F36" s="12"/>
      <c r="G36" s="12"/>
      <c r="H36" s="12"/>
    </row>
  </sheetData>
  <mergeCells count="14">
    <mergeCell ref="A1:H1"/>
    <mergeCell ref="A2:H2"/>
    <mergeCell ref="A3:H3"/>
    <mergeCell ref="B5:H5"/>
    <mergeCell ref="B6:H6"/>
    <mergeCell ref="B7:H7"/>
    <mergeCell ref="B8:H8"/>
    <mergeCell ref="B9:H9"/>
    <mergeCell ref="B10:H10"/>
    <mergeCell ref="B11:H11"/>
    <mergeCell ref="B12:H12"/>
    <mergeCell ref="B13:H13"/>
    <mergeCell ref="B14:H14"/>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91B2"/>
    <pageSetUpPr fitToPage="false"/>
  </sheetPr>
  <dimension ref="A1:N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2"/>
    <col collapsed="false" customWidth="true" hidden="false" outlineLevel="0" max="4" min="4" style="0" width="40"/>
    <col collapsed="false" customWidth="true" hidden="false" outlineLevel="0" max="6" min="5" style="0" width="50"/>
    <col collapsed="false" customWidth="true" hidden="false" outlineLevel="0" max="8" min="7" style="0" width="8"/>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3" min="12" style="0" width="16"/>
    <col collapsed="false" customWidth="true" hidden="false" outlineLevel="0" max="14" min="14" style="0" width="20"/>
  </cols>
  <sheetData>
    <row r="1" customFormat="false" ht="30" hidden="false" customHeight="true" outlineLevel="0" collapsed="false">
      <c r="A1" s="15" t="s">
        <v>108</v>
      </c>
      <c r="B1" s="15"/>
      <c r="C1" s="15"/>
      <c r="D1" s="15"/>
      <c r="E1" s="15"/>
      <c r="F1" s="15"/>
      <c r="G1" s="15"/>
      <c r="H1" s="15"/>
      <c r="I1" s="15"/>
      <c r="J1" s="15"/>
      <c r="K1" s="15"/>
      <c r="L1" s="15"/>
      <c r="M1" s="15"/>
      <c r="N1" s="15"/>
    </row>
    <row r="3" customFormat="false" ht="26.85" hidden="false" customHeight="false" outlineLevel="0" collapsed="false">
      <c r="A3" s="7" t="s">
        <v>109</v>
      </c>
      <c r="B3" s="7" t="s">
        <v>110</v>
      </c>
      <c r="C3" s="7" t="s">
        <v>111</v>
      </c>
      <c r="D3" s="7" t="s">
        <v>112</v>
      </c>
      <c r="E3" s="7" t="s">
        <v>30</v>
      </c>
      <c r="F3" s="7" t="s">
        <v>113</v>
      </c>
      <c r="G3" s="7" t="s">
        <v>11</v>
      </c>
      <c r="H3" s="7" t="s">
        <v>114</v>
      </c>
      <c r="I3" s="7" t="s">
        <v>28</v>
      </c>
      <c r="J3" s="7" t="s">
        <v>29</v>
      </c>
      <c r="K3" s="7" t="s">
        <v>115</v>
      </c>
      <c r="L3" s="7" t="s">
        <v>116</v>
      </c>
      <c r="M3" s="7" t="s">
        <v>117</v>
      </c>
      <c r="N3" s="7" t="s">
        <v>118</v>
      </c>
    </row>
    <row r="4" customFormat="false" ht="57.45" hidden="false" customHeight="false" outlineLevel="0" collapsed="false">
      <c r="A4" s="10" t="s">
        <v>119</v>
      </c>
      <c r="B4" s="10" t="s">
        <v>31</v>
      </c>
      <c r="C4" s="10" t="s">
        <v>120</v>
      </c>
      <c r="D4" s="11" t="s">
        <v>121</v>
      </c>
      <c r="E4" s="11" t="s">
        <v>122</v>
      </c>
      <c r="F4" s="11" t="s">
        <v>123</v>
      </c>
      <c r="G4" s="16" t="s">
        <v>36</v>
      </c>
      <c r="H4" s="10" t="s">
        <v>56</v>
      </c>
      <c r="I4" s="10" t="s">
        <v>35</v>
      </c>
      <c r="J4" s="8" t="s">
        <v>37</v>
      </c>
      <c r="K4" s="10" t="s">
        <v>124</v>
      </c>
      <c r="L4" s="11" t="s">
        <v>125</v>
      </c>
      <c r="M4" s="11" t="s">
        <v>126</v>
      </c>
      <c r="N4" s="11" t="s">
        <v>127</v>
      </c>
    </row>
    <row r="5" customFormat="false" ht="46.25" hidden="false" customHeight="false" outlineLevel="0" collapsed="false">
      <c r="A5" s="8" t="s">
        <v>128</v>
      </c>
      <c r="B5" s="8" t="s">
        <v>31</v>
      </c>
      <c r="C5" s="8" t="s">
        <v>120</v>
      </c>
      <c r="D5" s="9" t="s">
        <v>129</v>
      </c>
      <c r="E5" s="9" t="s">
        <v>130</v>
      </c>
      <c r="F5" s="9" t="s">
        <v>131</v>
      </c>
      <c r="G5" s="17" t="s">
        <v>36</v>
      </c>
      <c r="H5" s="8" t="s">
        <v>132</v>
      </c>
      <c r="I5" s="8" t="s">
        <v>35</v>
      </c>
      <c r="J5" s="8" t="s">
        <v>37</v>
      </c>
      <c r="K5" s="8" t="s">
        <v>124</v>
      </c>
      <c r="L5" s="9" t="s">
        <v>125</v>
      </c>
      <c r="M5" s="9" t="s">
        <v>133</v>
      </c>
      <c r="N5" s="9" t="s">
        <v>134</v>
      </c>
    </row>
    <row r="6" customFormat="false" ht="57.45" hidden="false" customHeight="false" outlineLevel="0" collapsed="false">
      <c r="A6" s="10" t="s">
        <v>135</v>
      </c>
      <c r="B6" s="10" t="s">
        <v>31</v>
      </c>
      <c r="C6" s="10" t="s">
        <v>120</v>
      </c>
      <c r="D6" s="11" t="s">
        <v>136</v>
      </c>
      <c r="E6" s="11" t="s">
        <v>137</v>
      </c>
      <c r="F6" s="11" t="s">
        <v>138</v>
      </c>
      <c r="G6" s="16" t="s">
        <v>36</v>
      </c>
      <c r="H6" s="10" t="s">
        <v>56</v>
      </c>
      <c r="I6" s="10" t="s">
        <v>35</v>
      </c>
      <c r="J6" s="8" t="s">
        <v>37</v>
      </c>
      <c r="K6" s="10" t="s">
        <v>124</v>
      </c>
      <c r="L6" s="11" t="s">
        <v>128</v>
      </c>
      <c r="M6" s="11" t="s">
        <v>139</v>
      </c>
      <c r="N6" s="11" t="s">
        <v>127</v>
      </c>
    </row>
    <row r="7" customFormat="false" ht="57.45" hidden="false" customHeight="false" outlineLevel="0" collapsed="false">
      <c r="A7" s="8" t="s">
        <v>140</v>
      </c>
      <c r="B7" s="8" t="s">
        <v>31</v>
      </c>
      <c r="C7" s="8" t="s">
        <v>120</v>
      </c>
      <c r="D7" s="9" t="s">
        <v>141</v>
      </c>
      <c r="E7" s="9" t="s">
        <v>142</v>
      </c>
      <c r="F7" s="9" t="s">
        <v>143</v>
      </c>
      <c r="G7" s="17" t="s">
        <v>36</v>
      </c>
      <c r="H7" s="8" t="s">
        <v>41</v>
      </c>
      <c r="I7" s="8" t="s">
        <v>35</v>
      </c>
      <c r="J7" s="8" t="s">
        <v>37</v>
      </c>
      <c r="K7" s="8" t="s">
        <v>124</v>
      </c>
      <c r="L7" s="9" t="s">
        <v>125</v>
      </c>
      <c r="M7" s="9" t="s">
        <v>144</v>
      </c>
      <c r="N7" s="9" t="s">
        <v>145</v>
      </c>
    </row>
    <row r="8" customFormat="false" ht="57.45" hidden="false" customHeight="false" outlineLevel="0" collapsed="false">
      <c r="A8" s="10" t="s">
        <v>146</v>
      </c>
      <c r="B8" s="10" t="s">
        <v>31</v>
      </c>
      <c r="C8" s="10" t="s">
        <v>120</v>
      </c>
      <c r="D8" s="11" t="s">
        <v>147</v>
      </c>
      <c r="E8" s="11" t="s">
        <v>148</v>
      </c>
      <c r="F8" s="11" t="s">
        <v>149</v>
      </c>
      <c r="G8" s="16" t="s">
        <v>36</v>
      </c>
      <c r="H8" s="10" t="s">
        <v>56</v>
      </c>
      <c r="I8" s="10" t="s">
        <v>35</v>
      </c>
      <c r="J8" s="8" t="s">
        <v>37</v>
      </c>
      <c r="K8" s="10" t="s">
        <v>124</v>
      </c>
      <c r="L8" s="11" t="s">
        <v>135</v>
      </c>
      <c r="M8" s="11" t="s">
        <v>150</v>
      </c>
      <c r="N8" s="11" t="s">
        <v>151</v>
      </c>
    </row>
    <row r="9" customFormat="false" ht="57.45" hidden="false" customHeight="false" outlineLevel="0" collapsed="false">
      <c r="A9" s="8" t="s">
        <v>152</v>
      </c>
      <c r="B9" s="8" t="s">
        <v>31</v>
      </c>
      <c r="C9" s="8" t="s">
        <v>120</v>
      </c>
      <c r="D9" s="9" t="s">
        <v>153</v>
      </c>
      <c r="E9" s="9" t="s">
        <v>154</v>
      </c>
      <c r="F9" s="9" t="s">
        <v>155</v>
      </c>
      <c r="G9" s="17" t="s">
        <v>36</v>
      </c>
      <c r="H9" s="8" t="s">
        <v>41</v>
      </c>
      <c r="I9" s="8" t="s">
        <v>35</v>
      </c>
      <c r="J9" s="8" t="s">
        <v>37</v>
      </c>
      <c r="K9" s="8" t="s">
        <v>124</v>
      </c>
      <c r="L9" s="9" t="s">
        <v>119</v>
      </c>
      <c r="M9" s="9" t="s">
        <v>156</v>
      </c>
      <c r="N9" s="9" t="s">
        <v>157</v>
      </c>
    </row>
    <row r="10" customFormat="false" ht="68.65" hidden="false" customHeight="false" outlineLevel="0" collapsed="false">
      <c r="A10" s="10" t="s">
        <v>158</v>
      </c>
      <c r="B10" s="10" t="s">
        <v>39</v>
      </c>
      <c r="C10" s="10" t="s">
        <v>159</v>
      </c>
      <c r="D10" s="11" t="s">
        <v>160</v>
      </c>
      <c r="E10" s="11" t="s">
        <v>161</v>
      </c>
      <c r="F10" s="11" t="s">
        <v>162</v>
      </c>
      <c r="G10" s="16" t="s">
        <v>36</v>
      </c>
      <c r="H10" s="10" t="s">
        <v>56</v>
      </c>
      <c r="I10" s="10" t="s">
        <v>43</v>
      </c>
      <c r="J10" s="8" t="s">
        <v>37</v>
      </c>
      <c r="K10" s="10" t="s">
        <v>124</v>
      </c>
      <c r="L10" s="11" t="s">
        <v>152</v>
      </c>
      <c r="M10" s="11" t="s">
        <v>163</v>
      </c>
      <c r="N10" s="11" t="s">
        <v>164</v>
      </c>
    </row>
    <row r="11" customFormat="false" ht="79.85" hidden="false" customHeight="false" outlineLevel="0" collapsed="false">
      <c r="A11" s="8" t="s">
        <v>165</v>
      </c>
      <c r="B11" s="8" t="s">
        <v>39</v>
      </c>
      <c r="C11" s="8" t="s">
        <v>159</v>
      </c>
      <c r="D11" s="9" t="s">
        <v>166</v>
      </c>
      <c r="E11" s="9" t="s">
        <v>167</v>
      </c>
      <c r="F11" s="9" t="s">
        <v>168</v>
      </c>
      <c r="G11" s="17" t="s">
        <v>36</v>
      </c>
      <c r="H11" s="8" t="s">
        <v>56</v>
      </c>
      <c r="I11" s="8" t="s">
        <v>43</v>
      </c>
      <c r="J11" s="8" t="s">
        <v>37</v>
      </c>
      <c r="K11" s="8" t="s">
        <v>124</v>
      </c>
      <c r="L11" s="9" t="s">
        <v>158</v>
      </c>
      <c r="M11" s="9" t="s">
        <v>169</v>
      </c>
      <c r="N11" s="9" t="s">
        <v>170</v>
      </c>
    </row>
    <row r="12" customFormat="false" ht="35.05" hidden="false" customHeight="false" outlineLevel="0" collapsed="false">
      <c r="A12" s="10" t="s">
        <v>171</v>
      </c>
      <c r="B12" s="10" t="s">
        <v>39</v>
      </c>
      <c r="C12" s="10" t="s">
        <v>159</v>
      </c>
      <c r="D12" s="11" t="s">
        <v>172</v>
      </c>
      <c r="E12" s="11" t="s">
        <v>173</v>
      </c>
      <c r="F12" s="11" t="s">
        <v>174</v>
      </c>
      <c r="G12" s="18" t="s">
        <v>52</v>
      </c>
      <c r="H12" s="10" t="s">
        <v>132</v>
      </c>
      <c r="I12" s="10" t="s">
        <v>43</v>
      </c>
      <c r="J12" s="8" t="s">
        <v>37</v>
      </c>
      <c r="K12" s="10" t="s">
        <v>124</v>
      </c>
      <c r="L12" s="11" t="s">
        <v>158</v>
      </c>
      <c r="M12" s="11" t="s">
        <v>163</v>
      </c>
      <c r="N12" s="11" t="s">
        <v>175</v>
      </c>
    </row>
    <row r="13" customFormat="false" ht="46.25" hidden="false" customHeight="false" outlineLevel="0" collapsed="false">
      <c r="A13" s="8" t="s">
        <v>176</v>
      </c>
      <c r="B13" s="8" t="s">
        <v>39</v>
      </c>
      <c r="C13" s="8" t="s">
        <v>159</v>
      </c>
      <c r="D13" s="9" t="s">
        <v>177</v>
      </c>
      <c r="E13" s="9" t="s">
        <v>178</v>
      </c>
      <c r="F13" s="9" t="s">
        <v>179</v>
      </c>
      <c r="G13" s="19" t="s">
        <v>52</v>
      </c>
      <c r="H13" s="8" t="s">
        <v>56</v>
      </c>
      <c r="I13" s="8" t="s">
        <v>43</v>
      </c>
      <c r="J13" s="8" t="s">
        <v>37</v>
      </c>
      <c r="K13" s="8" t="s">
        <v>124</v>
      </c>
      <c r="L13" s="9" t="s">
        <v>158</v>
      </c>
      <c r="M13" s="9" t="s">
        <v>180</v>
      </c>
      <c r="N13" s="9" t="s">
        <v>181</v>
      </c>
    </row>
    <row r="14" customFormat="false" ht="91" hidden="false" customHeight="false" outlineLevel="0" collapsed="false">
      <c r="A14" s="10" t="s">
        <v>182</v>
      </c>
      <c r="B14" s="10" t="s">
        <v>45</v>
      </c>
      <c r="C14" s="10" t="s">
        <v>159</v>
      </c>
      <c r="D14" s="11" t="s">
        <v>183</v>
      </c>
      <c r="E14" s="11" t="s">
        <v>184</v>
      </c>
      <c r="F14" s="11" t="s">
        <v>185</v>
      </c>
      <c r="G14" s="16" t="s">
        <v>36</v>
      </c>
      <c r="H14" s="10" t="s">
        <v>41</v>
      </c>
      <c r="I14" s="10" t="s">
        <v>43</v>
      </c>
      <c r="J14" s="8" t="s">
        <v>37</v>
      </c>
      <c r="K14" s="10" t="s">
        <v>124</v>
      </c>
      <c r="L14" s="11" t="s">
        <v>152</v>
      </c>
      <c r="M14" s="11" t="s">
        <v>186</v>
      </c>
      <c r="N14" s="11" t="s">
        <v>187</v>
      </c>
    </row>
    <row r="15" customFormat="false" ht="68.65" hidden="false" customHeight="false" outlineLevel="0" collapsed="false">
      <c r="A15" s="8" t="s">
        <v>188</v>
      </c>
      <c r="B15" s="8" t="s">
        <v>45</v>
      </c>
      <c r="C15" s="8" t="s">
        <v>189</v>
      </c>
      <c r="D15" s="9" t="s">
        <v>190</v>
      </c>
      <c r="E15" s="9" t="s">
        <v>191</v>
      </c>
      <c r="F15" s="9" t="s">
        <v>192</v>
      </c>
      <c r="G15" s="17" t="s">
        <v>36</v>
      </c>
      <c r="H15" s="8" t="s">
        <v>56</v>
      </c>
      <c r="I15" s="8" t="s">
        <v>43</v>
      </c>
      <c r="J15" s="8" t="s">
        <v>37</v>
      </c>
      <c r="K15" s="8" t="s">
        <v>124</v>
      </c>
      <c r="L15" s="9" t="s">
        <v>182</v>
      </c>
      <c r="M15" s="9" t="s">
        <v>193</v>
      </c>
      <c r="N15" s="9" t="s">
        <v>194</v>
      </c>
    </row>
    <row r="16" customFormat="false" ht="57.45" hidden="false" customHeight="false" outlineLevel="0" collapsed="false">
      <c r="A16" s="10" t="s">
        <v>195</v>
      </c>
      <c r="B16" s="10" t="s">
        <v>45</v>
      </c>
      <c r="C16" s="10" t="s">
        <v>159</v>
      </c>
      <c r="D16" s="11" t="s">
        <v>196</v>
      </c>
      <c r="E16" s="11" t="s">
        <v>197</v>
      </c>
      <c r="F16" s="11" t="s">
        <v>198</v>
      </c>
      <c r="G16" s="16" t="s">
        <v>36</v>
      </c>
      <c r="H16" s="10" t="s">
        <v>77</v>
      </c>
      <c r="I16" s="10" t="s">
        <v>43</v>
      </c>
      <c r="J16" s="8" t="s">
        <v>37</v>
      </c>
      <c r="K16" s="10" t="s">
        <v>124</v>
      </c>
      <c r="L16" s="11" t="s">
        <v>182</v>
      </c>
      <c r="M16" s="11" t="s">
        <v>199</v>
      </c>
      <c r="N16" s="11" t="s">
        <v>200</v>
      </c>
    </row>
    <row r="17" customFormat="false" ht="57.45" hidden="false" customHeight="false" outlineLevel="0" collapsed="false">
      <c r="A17" s="8" t="s">
        <v>201</v>
      </c>
      <c r="B17" s="8" t="s">
        <v>45</v>
      </c>
      <c r="C17" s="8" t="s">
        <v>120</v>
      </c>
      <c r="D17" s="9" t="s">
        <v>202</v>
      </c>
      <c r="E17" s="9" t="s">
        <v>203</v>
      </c>
      <c r="F17" s="9" t="s">
        <v>204</v>
      </c>
      <c r="G17" s="17" t="s">
        <v>36</v>
      </c>
      <c r="H17" s="8" t="s">
        <v>56</v>
      </c>
      <c r="I17" s="8" t="s">
        <v>43</v>
      </c>
      <c r="J17" s="8" t="s">
        <v>37</v>
      </c>
      <c r="K17" s="8" t="s">
        <v>124</v>
      </c>
      <c r="L17" s="9" t="s">
        <v>182</v>
      </c>
      <c r="M17" s="9" t="s">
        <v>169</v>
      </c>
      <c r="N17" s="9" t="s">
        <v>170</v>
      </c>
    </row>
    <row r="18" customFormat="false" ht="46.25" hidden="false" customHeight="false" outlineLevel="0" collapsed="false">
      <c r="A18" s="10" t="s">
        <v>205</v>
      </c>
      <c r="B18" s="10" t="s">
        <v>45</v>
      </c>
      <c r="C18" s="10" t="s">
        <v>120</v>
      </c>
      <c r="D18" s="11" t="s">
        <v>206</v>
      </c>
      <c r="E18" s="11" t="s">
        <v>207</v>
      </c>
      <c r="F18" s="11" t="s">
        <v>208</v>
      </c>
      <c r="G18" s="18" t="s">
        <v>52</v>
      </c>
      <c r="H18" s="10" t="s">
        <v>77</v>
      </c>
      <c r="I18" s="10" t="s">
        <v>43</v>
      </c>
      <c r="J18" s="8" t="s">
        <v>37</v>
      </c>
      <c r="K18" s="10" t="s">
        <v>124</v>
      </c>
      <c r="L18" s="11" t="s">
        <v>182</v>
      </c>
      <c r="M18" s="11" t="s">
        <v>209</v>
      </c>
      <c r="N18" s="11" t="s">
        <v>210</v>
      </c>
    </row>
    <row r="19" customFormat="false" ht="68.65" hidden="false" customHeight="false" outlineLevel="0" collapsed="false">
      <c r="A19" s="8" t="s">
        <v>211</v>
      </c>
      <c r="B19" s="8" t="s">
        <v>50</v>
      </c>
      <c r="C19" s="8" t="s">
        <v>159</v>
      </c>
      <c r="D19" s="9" t="s">
        <v>212</v>
      </c>
      <c r="E19" s="9" t="s">
        <v>213</v>
      </c>
      <c r="F19" s="9" t="s">
        <v>214</v>
      </c>
      <c r="G19" s="19" t="s">
        <v>52</v>
      </c>
      <c r="H19" s="8" t="s">
        <v>56</v>
      </c>
      <c r="I19" s="8" t="s">
        <v>43</v>
      </c>
      <c r="J19" s="8" t="s">
        <v>37</v>
      </c>
      <c r="K19" s="8" t="s">
        <v>124</v>
      </c>
      <c r="L19" s="9" t="s">
        <v>152</v>
      </c>
      <c r="M19" s="9" t="s">
        <v>215</v>
      </c>
      <c r="N19" s="9" t="s">
        <v>216</v>
      </c>
    </row>
    <row r="20" customFormat="false" ht="68.65" hidden="false" customHeight="false" outlineLevel="0" collapsed="false">
      <c r="A20" s="10" t="s">
        <v>217</v>
      </c>
      <c r="B20" s="10" t="s">
        <v>50</v>
      </c>
      <c r="C20" s="10" t="s">
        <v>189</v>
      </c>
      <c r="D20" s="11" t="s">
        <v>218</v>
      </c>
      <c r="E20" s="11" t="s">
        <v>219</v>
      </c>
      <c r="F20" s="11" t="s">
        <v>220</v>
      </c>
      <c r="G20" s="18" t="s">
        <v>52</v>
      </c>
      <c r="H20" s="10" t="s">
        <v>56</v>
      </c>
      <c r="I20" s="10" t="s">
        <v>43</v>
      </c>
      <c r="J20" s="8" t="s">
        <v>37</v>
      </c>
      <c r="K20" s="10" t="s">
        <v>124</v>
      </c>
      <c r="L20" s="11" t="s">
        <v>125</v>
      </c>
      <c r="M20" s="11" t="s">
        <v>193</v>
      </c>
      <c r="N20" s="11" t="s">
        <v>221</v>
      </c>
    </row>
    <row r="21" customFormat="false" ht="57.45" hidden="false" customHeight="false" outlineLevel="0" collapsed="false">
      <c r="A21" s="8" t="s">
        <v>222</v>
      </c>
      <c r="B21" s="8" t="s">
        <v>50</v>
      </c>
      <c r="C21" s="8" t="s">
        <v>120</v>
      </c>
      <c r="D21" s="9" t="s">
        <v>223</v>
      </c>
      <c r="E21" s="9" t="s">
        <v>224</v>
      </c>
      <c r="F21" s="9" t="s">
        <v>225</v>
      </c>
      <c r="G21" s="19" t="s">
        <v>52</v>
      </c>
      <c r="H21" s="8" t="s">
        <v>77</v>
      </c>
      <c r="I21" s="8" t="s">
        <v>43</v>
      </c>
      <c r="J21" s="8" t="s">
        <v>37</v>
      </c>
      <c r="K21" s="8" t="s">
        <v>124</v>
      </c>
      <c r="L21" s="9" t="s">
        <v>211</v>
      </c>
      <c r="M21" s="9" t="s">
        <v>169</v>
      </c>
      <c r="N21" s="9" t="s">
        <v>170</v>
      </c>
    </row>
    <row r="22" customFormat="false" ht="46.25" hidden="false" customHeight="false" outlineLevel="0" collapsed="false">
      <c r="A22" s="10" t="s">
        <v>226</v>
      </c>
      <c r="B22" s="10" t="s">
        <v>50</v>
      </c>
      <c r="C22" s="10" t="s">
        <v>120</v>
      </c>
      <c r="D22" s="11" t="s">
        <v>227</v>
      </c>
      <c r="E22" s="11" t="s">
        <v>228</v>
      </c>
      <c r="F22" s="11" t="s">
        <v>229</v>
      </c>
      <c r="G22" s="18" t="s">
        <v>52</v>
      </c>
      <c r="H22" s="10" t="s">
        <v>77</v>
      </c>
      <c r="I22" s="10" t="s">
        <v>43</v>
      </c>
      <c r="J22" s="8" t="s">
        <v>37</v>
      </c>
      <c r="K22" s="10" t="s">
        <v>124</v>
      </c>
      <c r="L22" s="11" t="s">
        <v>125</v>
      </c>
      <c r="M22" s="11" t="s">
        <v>230</v>
      </c>
      <c r="N22" s="11" t="s">
        <v>231</v>
      </c>
    </row>
    <row r="23" customFormat="false" ht="68.65" hidden="false" customHeight="false" outlineLevel="0" collapsed="false">
      <c r="A23" s="8" t="s">
        <v>232</v>
      </c>
      <c r="B23" s="8" t="s">
        <v>54</v>
      </c>
      <c r="C23" s="8" t="s">
        <v>159</v>
      </c>
      <c r="D23" s="9" t="s">
        <v>233</v>
      </c>
      <c r="E23" s="9" t="s">
        <v>234</v>
      </c>
      <c r="F23" s="9" t="s">
        <v>235</v>
      </c>
      <c r="G23" s="19" t="s">
        <v>52</v>
      </c>
      <c r="H23" s="8" t="s">
        <v>41</v>
      </c>
      <c r="I23" s="8" t="s">
        <v>43</v>
      </c>
      <c r="J23" s="8" t="s">
        <v>37</v>
      </c>
      <c r="K23" s="8" t="s">
        <v>124</v>
      </c>
      <c r="L23" s="9" t="s">
        <v>152</v>
      </c>
      <c r="M23" s="9" t="s">
        <v>215</v>
      </c>
      <c r="N23" s="9" t="s">
        <v>236</v>
      </c>
    </row>
    <row r="24" customFormat="false" ht="46.25" hidden="false" customHeight="false" outlineLevel="0" collapsed="false">
      <c r="A24" s="10" t="s">
        <v>237</v>
      </c>
      <c r="B24" s="10" t="s">
        <v>54</v>
      </c>
      <c r="C24" s="10" t="s">
        <v>120</v>
      </c>
      <c r="D24" s="11" t="s">
        <v>238</v>
      </c>
      <c r="E24" s="11" t="s">
        <v>239</v>
      </c>
      <c r="F24" s="11" t="s">
        <v>240</v>
      </c>
      <c r="G24" s="18" t="s">
        <v>52</v>
      </c>
      <c r="H24" s="10" t="s">
        <v>77</v>
      </c>
      <c r="I24" s="10" t="s">
        <v>43</v>
      </c>
      <c r="J24" s="8" t="s">
        <v>37</v>
      </c>
      <c r="K24" s="10" t="s">
        <v>124</v>
      </c>
      <c r="L24" s="11" t="s">
        <v>232</v>
      </c>
      <c r="M24" s="11" t="s">
        <v>193</v>
      </c>
      <c r="N24" s="11" t="s">
        <v>181</v>
      </c>
    </row>
    <row r="25" customFormat="false" ht="35.05" hidden="false" customHeight="false" outlineLevel="0" collapsed="false">
      <c r="A25" s="8" t="s">
        <v>241</v>
      </c>
      <c r="B25" s="8" t="s">
        <v>54</v>
      </c>
      <c r="C25" s="8" t="s">
        <v>120</v>
      </c>
      <c r="D25" s="9" t="s">
        <v>242</v>
      </c>
      <c r="E25" s="9" t="s">
        <v>243</v>
      </c>
      <c r="F25" s="9" t="s">
        <v>244</v>
      </c>
      <c r="G25" s="19" t="s">
        <v>52</v>
      </c>
      <c r="H25" s="8" t="s">
        <v>77</v>
      </c>
      <c r="I25" s="8" t="s">
        <v>43</v>
      </c>
      <c r="J25" s="8" t="s">
        <v>37</v>
      </c>
      <c r="K25" s="8" t="s">
        <v>124</v>
      </c>
      <c r="L25" s="9" t="s">
        <v>232</v>
      </c>
      <c r="M25" s="9" t="s">
        <v>169</v>
      </c>
      <c r="N25" s="9" t="s">
        <v>170</v>
      </c>
    </row>
    <row r="26" customFormat="false" ht="68.65" hidden="false" customHeight="false" outlineLevel="0" collapsed="false">
      <c r="A26" s="10" t="s">
        <v>245</v>
      </c>
      <c r="B26" s="10" t="s">
        <v>59</v>
      </c>
      <c r="C26" s="10" t="s">
        <v>159</v>
      </c>
      <c r="D26" s="11" t="s">
        <v>246</v>
      </c>
      <c r="E26" s="11" t="s">
        <v>247</v>
      </c>
      <c r="F26" s="11" t="s">
        <v>248</v>
      </c>
      <c r="G26" s="16" t="s">
        <v>36</v>
      </c>
      <c r="H26" s="10" t="s">
        <v>47</v>
      </c>
      <c r="I26" s="10" t="s">
        <v>62</v>
      </c>
      <c r="J26" s="8" t="s">
        <v>37</v>
      </c>
      <c r="K26" s="10" t="s">
        <v>124</v>
      </c>
      <c r="L26" s="11" t="s">
        <v>152</v>
      </c>
      <c r="M26" s="11" t="s">
        <v>249</v>
      </c>
      <c r="N26" s="11" t="s">
        <v>250</v>
      </c>
    </row>
    <row r="27" customFormat="false" ht="68.65" hidden="false" customHeight="false" outlineLevel="0" collapsed="false">
      <c r="A27" s="8" t="s">
        <v>251</v>
      </c>
      <c r="B27" s="8" t="s">
        <v>59</v>
      </c>
      <c r="C27" s="8" t="s">
        <v>189</v>
      </c>
      <c r="D27" s="9" t="s">
        <v>252</v>
      </c>
      <c r="E27" s="9" t="s">
        <v>253</v>
      </c>
      <c r="F27" s="9" t="s">
        <v>254</v>
      </c>
      <c r="G27" s="17" t="s">
        <v>36</v>
      </c>
      <c r="H27" s="8" t="s">
        <v>41</v>
      </c>
      <c r="I27" s="8" t="s">
        <v>62</v>
      </c>
      <c r="J27" s="8" t="s">
        <v>37</v>
      </c>
      <c r="K27" s="8" t="s">
        <v>124</v>
      </c>
      <c r="L27" s="9" t="s">
        <v>245</v>
      </c>
      <c r="M27" s="9" t="s">
        <v>249</v>
      </c>
      <c r="N27" s="9" t="s">
        <v>255</v>
      </c>
    </row>
    <row r="28" customFormat="false" ht="91" hidden="false" customHeight="false" outlineLevel="0" collapsed="false">
      <c r="A28" s="10" t="s">
        <v>256</v>
      </c>
      <c r="B28" s="10" t="s">
        <v>59</v>
      </c>
      <c r="C28" s="10" t="s">
        <v>189</v>
      </c>
      <c r="D28" s="11" t="s">
        <v>257</v>
      </c>
      <c r="E28" s="11" t="s">
        <v>258</v>
      </c>
      <c r="F28" s="11" t="s">
        <v>259</v>
      </c>
      <c r="G28" s="16" t="s">
        <v>36</v>
      </c>
      <c r="H28" s="10" t="s">
        <v>47</v>
      </c>
      <c r="I28" s="10" t="s">
        <v>62</v>
      </c>
      <c r="J28" s="8" t="s">
        <v>37</v>
      </c>
      <c r="K28" s="10" t="s">
        <v>124</v>
      </c>
      <c r="L28" s="11" t="s">
        <v>260</v>
      </c>
      <c r="M28" s="11" t="s">
        <v>261</v>
      </c>
      <c r="N28" s="11" t="s">
        <v>262</v>
      </c>
    </row>
    <row r="29" customFormat="false" ht="68.65" hidden="false" customHeight="false" outlineLevel="0" collapsed="false">
      <c r="A29" s="8" t="s">
        <v>263</v>
      </c>
      <c r="B29" s="8" t="s">
        <v>59</v>
      </c>
      <c r="C29" s="8" t="s">
        <v>120</v>
      </c>
      <c r="D29" s="9" t="s">
        <v>264</v>
      </c>
      <c r="E29" s="9" t="s">
        <v>265</v>
      </c>
      <c r="F29" s="9" t="s">
        <v>266</v>
      </c>
      <c r="G29" s="17" t="s">
        <v>36</v>
      </c>
      <c r="H29" s="8" t="s">
        <v>56</v>
      </c>
      <c r="I29" s="8" t="s">
        <v>62</v>
      </c>
      <c r="J29" s="8" t="s">
        <v>37</v>
      </c>
      <c r="K29" s="8" t="s">
        <v>124</v>
      </c>
      <c r="L29" s="9" t="s">
        <v>125</v>
      </c>
      <c r="M29" s="9" t="s">
        <v>267</v>
      </c>
      <c r="N29" s="9" t="s">
        <v>268</v>
      </c>
    </row>
    <row r="30" customFormat="false" ht="57.45" hidden="false" customHeight="false" outlineLevel="0" collapsed="false">
      <c r="A30" s="10" t="s">
        <v>269</v>
      </c>
      <c r="B30" s="10" t="s">
        <v>59</v>
      </c>
      <c r="C30" s="10" t="s">
        <v>120</v>
      </c>
      <c r="D30" s="11" t="s">
        <v>270</v>
      </c>
      <c r="E30" s="11" t="s">
        <v>271</v>
      </c>
      <c r="F30" s="11" t="s">
        <v>272</v>
      </c>
      <c r="G30" s="16" t="s">
        <v>36</v>
      </c>
      <c r="H30" s="10" t="s">
        <v>77</v>
      </c>
      <c r="I30" s="10" t="s">
        <v>62</v>
      </c>
      <c r="J30" s="8" t="s">
        <v>37</v>
      </c>
      <c r="K30" s="10" t="s">
        <v>124</v>
      </c>
      <c r="L30" s="11" t="s">
        <v>273</v>
      </c>
      <c r="M30" s="11" t="s">
        <v>274</v>
      </c>
      <c r="N30" s="11" t="s">
        <v>275</v>
      </c>
    </row>
    <row r="31" customFormat="false" ht="57.45" hidden="false" customHeight="false" outlineLevel="0" collapsed="false">
      <c r="A31" s="8" t="s">
        <v>276</v>
      </c>
      <c r="B31" s="8" t="s">
        <v>59</v>
      </c>
      <c r="C31" s="8" t="s">
        <v>120</v>
      </c>
      <c r="D31" s="9" t="s">
        <v>277</v>
      </c>
      <c r="E31" s="9" t="s">
        <v>278</v>
      </c>
      <c r="F31" s="9" t="s">
        <v>279</v>
      </c>
      <c r="G31" s="17" t="s">
        <v>36</v>
      </c>
      <c r="H31" s="8" t="s">
        <v>77</v>
      </c>
      <c r="I31" s="8" t="s">
        <v>62</v>
      </c>
      <c r="J31" s="8" t="s">
        <v>37</v>
      </c>
      <c r="K31" s="8" t="s">
        <v>124</v>
      </c>
      <c r="L31" s="9" t="s">
        <v>245</v>
      </c>
      <c r="M31" s="9" t="s">
        <v>169</v>
      </c>
      <c r="N31" s="9" t="s">
        <v>170</v>
      </c>
    </row>
    <row r="32" customFormat="false" ht="57.45" hidden="false" customHeight="false" outlineLevel="0" collapsed="false">
      <c r="A32" s="10" t="s">
        <v>280</v>
      </c>
      <c r="B32" s="10" t="s">
        <v>59</v>
      </c>
      <c r="C32" s="10" t="s">
        <v>159</v>
      </c>
      <c r="D32" s="11" t="s">
        <v>281</v>
      </c>
      <c r="E32" s="11" t="s">
        <v>282</v>
      </c>
      <c r="F32" s="11" t="s">
        <v>283</v>
      </c>
      <c r="G32" s="18" t="s">
        <v>52</v>
      </c>
      <c r="H32" s="10" t="s">
        <v>77</v>
      </c>
      <c r="I32" s="10" t="s">
        <v>62</v>
      </c>
      <c r="J32" s="8" t="s">
        <v>37</v>
      </c>
      <c r="K32" s="10" t="s">
        <v>124</v>
      </c>
      <c r="L32" s="11" t="s">
        <v>256</v>
      </c>
      <c r="M32" s="11" t="s">
        <v>180</v>
      </c>
      <c r="N32" s="11" t="s">
        <v>284</v>
      </c>
    </row>
    <row r="33" customFormat="false" ht="57.45" hidden="false" customHeight="false" outlineLevel="0" collapsed="false">
      <c r="A33" s="8" t="s">
        <v>285</v>
      </c>
      <c r="B33" s="8" t="s">
        <v>59</v>
      </c>
      <c r="C33" s="8" t="s">
        <v>120</v>
      </c>
      <c r="D33" s="9" t="s">
        <v>286</v>
      </c>
      <c r="E33" s="9" t="s">
        <v>287</v>
      </c>
      <c r="F33" s="9" t="s">
        <v>288</v>
      </c>
      <c r="G33" s="19" t="s">
        <v>52</v>
      </c>
      <c r="H33" s="8" t="s">
        <v>47</v>
      </c>
      <c r="I33" s="8" t="s">
        <v>62</v>
      </c>
      <c r="J33" s="8" t="s">
        <v>37</v>
      </c>
      <c r="K33" s="8" t="s">
        <v>124</v>
      </c>
      <c r="L33" s="9" t="s">
        <v>245</v>
      </c>
      <c r="M33" s="9" t="s">
        <v>289</v>
      </c>
      <c r="N33" s="9" t="s">
        <v>290</v>
      </c>
    </row>
    <row r="34" customFormat="false" ht="68.65" hidden="false" customHeight="false" outlineLevel="0" collapsed="false">
      <c r="A34" s="10" t="s">
        <v>291</v>
      </c>
      <c r="B34" s="10" t="s">
        <v>64</v>
      </c>
      <c r="C34" s="10" t="s">
        <v>159</v>
      </c>
      <c r="D34" s="11" t="s">
        <v>292</v>
      </c>
      <c r="E34" s="11" t="s">
        <v>293</v>
      </c>
      <c r="F34" s="11" t="s">
        <v>294</v>
      </c>
      <c r="G34" s="16" t="s">
        <v>36</v>
      </c>
      <c r="H34" s="10" t="s">
        <v>41</v>
      </c>
      <c r="I34" s="10" t="s">
        <v>62</v>
      </c>
      <c r="J34" s="8" t="s">
        <v>37</v>
      </c>
      <c r="K34" s="10" t="s">
        <v>124</v>
      </c>
      <c r="L34" s="11" t="s">
        <v>152</v>
      </c>
      <c r="M34" s="11" t="s">
        <v>249</v>
      </c>
      <c r="N34" s="11" t="s">
        <v>295</v>
      </c>
    </row>
    <row r="35" customFormat="false" ht="91" hidden="false" customHeight="false" outlineLevel="0" collapsed="false">
      <c r="A35" s="8" t="s">
        <v>296</v>
      </c>
      <c r="B35" s="8" t="s">
        <v>64</v>
      </c>
      <c r="C35" s="8" t="s">
        <v>189</v>
      </c>
      <c r="D35" s="9" t="s">
        <v>297</v>
      </c>
      <c r="E35" s="9" t="s">
        <v>298</v>
      </c>
      <c r="F35" s="9" t="s">
        <v>299</v>
      </c>
      <c r="G35" s="17" t="s">
        <v>36</v>
      </c>
      <c r="H35" s="8" t="s">
        <v>33</v>
      </c>
      <c r="I35" s="8" t="s">
        <v>62</v>
      </c>
      <c r="J35" s="8" t="s">
        <v>37</v>
      </c>
      <c r="K35" s="8" t="s">
        <v>124</v>
      </c>
      <c r="L35" s="9" t="s">
        <v>291</v>
      </c>
      <c r="M35" s="9" t="s">
        <v>249</v>
      </c>
      <c r="N35" s="9" t="s">
        <v>300</v>
      </c>
    </row>
    <row r="36" customFormat="false" ht="91" hidden="false" customHeight="false" outlineLevel="0" collapsed="false">
      <c r="A36" s="10" t="s">
        <v>301</v>
      </c>
      <c r="B36" s="10" t="s">
        <v>64</v>
      </c>
      <c r="C36" s="10" t="s">
        <v>120</v>
      </c>
      <c r="D36" s="11" t="s">
        <v>302</v>
      </c>
      <c r="E36" s="11" t="s">
        <v>303</v>
      </c>
      <c r="F36" s="11" t="s">
        <v>304</v>
      </c>
      <c r="G36" s="16" t="s">
        <v>36</v>
      </c>
      <c r="H36" s="10" t="s">
        <v>41</v>
      </c>
      <c r="I36" s="10" t="s">
        <v>62</v>
      </c>
      <c r="J36" s="8" t="s">
        <v>37</v>
      </c>
      <c r="K36" s="10" t="s">
        <v>124</v>
      </c>
      <c r="L36" s="11" t="s">
        <v>125</v>
      </c>
      <c r="M36" s="11" t="s">
        <v>267</v>
      </c>
      <c r="N36" s="11" t="s">
        <v>305</v>
      </c>
    </row>
    <row r="37" customFormat="false" ht="57.45" hidden="false" customHeight="false" outlineLevel="0" collapsed="false">
      <c r="A37" s="8" t="s">
        <v>306</v>
      </c>
      <c r="B37" s="8" t="s">
        <v>64</v>
      </c>
      <c r="C37" s="8" t="s">
        <v>159</v>
      </c>
      <c r="D37" s="9" t="s">
        <v>307</v>
      </c>
      <c r="E37" s="9" t="s">
        <v>308</v>
      </c>
      <c r="F37" s="9" t="s">
        <v>309</v>
      </c>
      <c r="G37" s="17" t="s">
        <v>36</v>
      </c>
      <c r="H37" s="8" t="s">
        <v>56</v>
      </c>
      <c r="I37" s="8" t="s">
        <v>62</v>
      </c>
      <c r="J37" s="8" t="s">
        <v>37</v>
      </c>
      <c r="K37" s="8" t="s">
        <v>124</v>
      </c>
      <c r="L37" s="9" t="s">
        <v>301</v>
      </c>
      <c r="M37" s="9" t="s">
        <v>310</v>
      </c>
      <c r="N37" s="9" t="s">
        <v>311</v>
      </c>
    </row>
    <row r="38" customFormat="false" ht="57.45" hidden="false" customHeight="false" outlineLevel="0" collapsed="false">
      <c r="A38" s="10" t="s">
        <v>312</v>
      </c>
      <c r="B38" s="10" t="s">
        <v>64</v>
      </c>
      <c r="C38" s="10" t="s">
        <v>120</v>
      </c>
      <c r="D38" s="11" t="s">
        <v>313</v>
      </c>
      <c r="E38" s="11" t="s">
        <v>314</v>
      </c>
      <c r="F38" s="11" t="s">
        <v>315</v>
      </c>
      <c r="G38" s="16" t="s">
        <v>36</v>
      </c>
      <c r="H38" s="10" t="s">
        <v>56</v>
      </c>
      <c r="I38" s="10" t="s">
        <v>62</v>
      </c>
      <c r="J38" s="8" t="s">
        <v>37</v>
      </c>
      <c r="K38" s="10" t="s">
        <v>124</v>
      </c>
      <c r="L38" s="11" t="s">
        <v>291</v>
      </c>
      <c r="M38" s="11" t="s">
        <v>169</v>
      </c>
      <c r="N38" s="11" t="s">
        <v>170</v>
      </c>
    </row>
    <row r="39" customFormat="false" ht="46.25" hidden="false" customHeight="false" outlineLevel="0" collapsed="false">
      <c r="A39" s="8" t="s">
        <v>316</v>
      </c>
      <c r="B39" s="8" t="s">
        <v>64</v>
      </c>
      <c r="C39" s="8" t="s">
        <v>120</v>
      </c>
      <c r="D39" s="9" t="s">
        <v>317</v>
      </c>
      <c r="E39" s="9" t="s">
        <v>318</v>
      </c>
      <c r="F39" s="9" t="s">
        <v>319</v>
      </c>
      <c r="G39" s="19" t="s">
        <v>52</v>
      </c>
      <c r="H39" s="8" t="s">
        <v>77</v>
      </c>
      <c r="I39" s="8" t="s">
        <v>62</v>
      </c>
      <c r="J39" s="8" t="s">
        <v>37</v>
      </c>
      <c r="K39" s="8" t="s">
        <v>124</v>
      </c>
      <c r="L39" s="9" t="s">
        <v>320</v>
      </c>
      <c r="M39" s="9" t="s">
        <v>321</v>
      </c>
      <c r="N39" s="9" t="s">
        <v>275</v>
      </c>
    </row>
    <row r="40" customFormat="false" ht="46.25" hidden="false" customHeight="false" outlineLevel="0" collapsed="false">
      <c r="A40" s="10" t="s">
        <v>322</v>
      </c>
      <c r="B40" s="10" t="s">
        <v>64</v>
      </c>
      <c r="C40" s="10" t="s">
        <v>120</v>
      </c>
      <c r="D40" s="11" t="s">
        <v>323</v>
      </c>
      <c r="E40" s="11" t="s">
        <v>324</v>
      </c>
      <c r="F40" s="11" t="s">
        <v>325</v>
      </c>
      <c r="G40" s="18" t="s">
        <v>52</v>
      </c>
      <c r="H40" s="10" t="s">
        <v>77</v>
      </c>
      <c r="I40" s="10" t="s">
        <v>62</v>
      </c>
      <c r="J40" s="8" t="s">
        <v>37</v>
      </c>
      <c r="K40" s="10" t="s">
        <v>124</v>
      </c>
      <c r="L40" s="11" t="s">
        <v>291</v>
      </c>
      <c r="M40" s="11" t="s">
        <v>326</v>
      </c>
      <c r="N40" s="11" t="s">
        <v>284</v>
      </c>
    </row>
    <row r="41" customFormat="false" ht="68.65" hidden="false" customHeight="false" outlineLevel="0" collapsed="false">
      <c r="A41" s="8" t="s">
        <v>327</v>
      </c>
      <c r="B41" s="8" t="s">
        <v>69</v>
      </c>
      <c r="C41" s="8" t="s">
        <v>159</v>
      </c>
      <c r="D41" s="9" t="s">
        <v>328</v>
      </c>
      <c r="E41" s="9" t="s">
        <v>329</v>
      </c>
      <c r="F41" s="9" t="s">
        <v>330</v>
      </c>
      <c r="G41" s="19" t="s">
        <v>52</v>
      </c>
      <c r="H41" s="8" t="s">
        <v>41</v>
      </c>
      <c r="I41" s="8" t="s">
        <v>62</v>
      </c>
      <c r="J41" s="8" t="s">
        <v>37</v>
      </c>
      <c r="K41" s="8" t="s">
        <v>124</v>
      </c>
      <c r="L41" s="9" t="s">
        <v>152</v>
      </c>
      <c r="M41" s="9" t="s">
        <v>215</v>
      </c>
      <c r="N41" s="9" t="s">
        <v>331</v>
      </c>
    </row>
    <row r="42" customFormat="false" ht="46.25" hidden="false" customHeight="false" outlineLevel="0" collapsed="false">
      <c r="A42" s="10" t="s">
        <v>332</v>
      </c>
      <c r="B42" s="10" t="s">
        <v>69</v>
      </c>
      <c r="C42" s="10" t="s">
        <v>120</v>
      </c>
      <c r="D42" s="11" t="s">
        <v>333</v>
      </c>
      <c r="E42" s="11" t="s">
        <v>334</v>
      </c>
      <c r="F42" s="11" t="s">
        <v>335</v>
      </c>
      <c r="G42" s="18" t="s">
        <v>52</v>
      </c>
      <c r="H42" s="10" t="s">
        <v>77</v>
      </c>
      <c r="I42" s="10" t="s">
        <v>62</v>
      </c>
      <c r="J42" s="8" t="s">
        <v>37</v>
      </c>
      <c r="K42" s="10" t="s">
        <v>124</v>
      </c>
      <c r="L42" s="11" t="s">
        <v>327</v>
      </c>
      <c r="M42" s="11" t="s">
        <v>169</v>
      </c>
      <c r="N42" s="11" t="s">
        <v>170</v>
      </c>
    </row>
    <row r="43" customFormat="false" ht="57.45" hidden="false" customHeight="false" outlineLevel="0" collapsed="false">
      <c r="A43" s="8" t="s">
        <v>336</v>
      </c>
      <c r="B43" s="8" t="s">
        <v>69</v>
      </c>
      <c r="C43" s="8" t="s">
        <v>120</v>
      </c>
      <c r="D43" s="9" t="s">
        <v>337</v>
      </c>
      <c r="E43" s="9" t="s">
        <v>338</v>
      </c>
      <c r="F43" s="9" t="s">
        <v>339</v>
      </c>
      <c r="G43" s="19" t="s">
        <v>52</v>
      </c>
      <c r="H43" s="8" t="s">
        <v>77</v>
      </c>
      <c r="I43" s="8" t="s">
        <v>62</v>
      </c>
      <c r="J43" s="8" t="s">
        <v>37</v>
      </c>
      <c r="K43" s="8" t="s">
        <v>124</v>
      </c>
      <c r="L43" s="9" t="s">
        <v>125</v>
      </c>
      <c r="M43" s="9" t="s">
        <v>230</v>
      </c>
      <c r="N43" s="9" t="s">
        <v>340</v>
      </c>
    </row>
    <row r="44" customFormat="false" ht="68.65" hidden="false" customHeight="false" outlineLevel="0" collapsed="false">
      <c r="A44" s="10" t="s">
        <v>341</v>
      </c>
      <c r="B44" s="10" t="s">
        <v>72</v>
      </c>
      <c r="C44" s="10" t="s">
        <v>159</v>
      </c>
      <c r="D44" s="11" t="s">
        <v>342</v>
      </c>
      <c r="E44" s="11" t="s">
        <v>343</v>
      </c>
      <c r="F44" s="11" t="s">
        <v>344</v>
      </c>
      <c r="G44" s="18" t="s">
        <v>52</v>
      </c>
      <c r="H44" s="10" t="s">
        <v>41</v>
      </c>
      <c r="I44" s="10" t="s">
        <v>62</v>
      </c>
      <c r="J44" s="8" t="s">
        <v>37</v>
      </c>
      <c r="K44" s="10" t="s">
        <v>124</v>
      </c>
      <c r="L44" s="11" t="s">
        <v>152</v>
      </c>
      <c r="M44" s="11" t="s">
        <v>215</v>
      </c>
      <c r="N44" s="11" t="s">
        <v>345</v>
      </c>
    </row>
    <row r="45" customFormat="false" ht="35.05" hidden="false" customHeight="false" outlineLevel="0" collapsed="false">
      <c r="A45" s="8" t="s">
        <v>346</v>
      </c>
      <c r="B45" s="8" t="s">
        <v>72</v>
      </c>
      <c r="C45" s="8" t="s">
        <v>120</v>
      </c>
      <c r="D45" s="9" t="s">
        <v>347</v>
      </c>
      <c r="E45" s="9" t="s">
        <v>348</v>
      </c>
      <c r="F45" s="9" t="s">
        <v>349</v>
      </c>
      <c r="G45" s="19" t="s">
        <v>52</v>
      </c>
      <c r="H45" s="8" t="s">
        <v>77</v>
      </c>
      <c r="I45" s="8" t="s">
        <v>62</v>
      </c>
      <c r="J45" s="8" t="s">
        <v>37</v>
      </c>
      <c r="K45" s="8" t="s">
        <v>124</v>
      </c>
      <c r="L45" s="9" t="s">
        <v>341</v>
      </c>
      <c r="M45" s="9" t="s">
        <v>169</v>
      </c>
      <c r="N45" s="9" t="s">
        <v>170</v>
      </c>
    </row>
    <row r="46" customFormat="false" ht="46.25" hidden="false" customHeight="false" outlineLevel="0" collapsed="false">
      <c r="A46" s="10" t="s">
        <v>350</v>
      </c>
      <c r="B46" s="10" t="s">
        <v>72</v>
      </c>
      <c r="C46" s="10" t="s">
        <v>120</v>
      </c>
      <c r="D46" s="11" t="s">
        <v>351</v>
      </c>
      <c r="E46" s="11" t="s">
        <v>352</v>
      </c>
      <c r="F46" s="11" t="s">
        <v>353</v>
      </c>
      <c r="G46" s="18" t="s">
        <v>52</v>
      </c>
      <c r="H46" s="10" t="s">
        <v>77</v>
      </c>
      <c r="I46" s="10" t="s">
        <v>62</v>
      </c>
      <c r="J46" s="8" t="s">
        <v>37</v>
      </c>
      <c r="K46" s="10" t="s">
        <v>124</v>
      </c>
      <c r="L46" s="11" t="s">
        <v>125</v>
      </c>
      <c r="M46" s="11" t="s">
        <v>230</v>
      </c>
      <c r="N46" s="11" t="s">
        <v>354</v>
      </c>
    </row>
    <row r="47" customFormat="false" ht="68.65" hidden="false" customHeight="false" outlineLevel="0" collapsed="false">
      <c r="A47" s="8" t="s">
        <v>355</v>
      </c>
      <c r="B47" s="8" t="s">
        <v>75</v>
      </c>
      <c r="C47" s="8" t="s">
        <v>159</v>
      </c>
      <c r="D47" s="9" t="s">
        <v>356</v>
      </c>
      <c r="E47" s="9" t="s">
        <v>357</v>
      </c>
      <c r="F47" s="9" t="s">
        <v>358</v>
      </c>
      <c r="G47" s="19" t="s">
        <v>52</v>
      </c>
      <c r="H47" s="8" t="s">
        <v>77</v>
      </c>
      <c r="I47" s="8" t="s">
        <v>78</v>
      </c>
      <c r="J47" s="8" t="s">
        <v>37</v>
      </c>
      <c r="K47" s="8" t="s">
        <v>124</v>
      </c>
      <c r="L47" s="9" t="s">
        <v>152</v>
      </c>
      <c r="M47" s="9" t="s">
        <v>215</v>
      </c>
      <c r="N47" s="9" t="s">
        <v>359</v>
      </c>
    </row>
    <row r="48" customFormat="false" ht="35.05" hidden="false" customHeight="false" outlineLevel="0" collapsed="false">
      <c r="A48" s="10" t="s">
        <v>360</v>
      </c>
      <c r="B48" s="10" t="s">
        <v>75</v>
      </c>
      <c r="C48" s="10" t="s">
        <v>120</v>
      </c>
      <c r="D48" s="11" t="s">
        <v>361</v>
      </c>
      <c r="E48" s="11" t="s">
        <v>362</v>
      </c>
      <c r="F48" s="11" t="s">
        <v>363</v>
      </c>
      <c r="G48" s="18" t="s">
        <v>52</v>
      </c>
      <c r="H48" s="10" t="s">
        <v>77</v>
      </c>
      <c r="I48" s="10" t="s">
        <v>78</v>
      </c>
      <c r="J48" s="8" t="s">
        <v>37</v>
      </c>
      <c r="K48" s="10" t="s">
        <v>124</v>
      </c>
      <c r="L48" s="11" t="s">
        <v>355</v>
      </c>
      <c r="M48" s="11" t="s">
        <v>169</v>
      </c>
      <c r="N48" s="11" t="s">
        <v>170</v>
      </c>
    </row>
    <row r="49" customFormat="false" ht="68.65" hidden="false" customHeight="false" outlineLevel="0" collapsed="false">
      <c r="A49" s="8" t="s">
        <v>364</v>
      </c>
      <c r="B49" s="8" t="s">
        <v>80</v>
      </c>
      <c r="C49" s="8" t="s">
        <v>159</v>
      </c>
      <c r="D49" s="9" t="s">
        <v>365</v>
      </c>
      <c r="E49" s="9" t="s">
        <v>366</v>
      </c>
      <c r="F49" s="9" t="s">
        <v>367</v>
      </c>
      <c r="G49" s="19" t="s">
        <v>52</v>
      </c>
      <c r="H49" s="8" t="s">
        <v>56</v>
      </c>
      <c r="I49" s="8" t="s">
        <v>78</v>
      </c>
      <c r="J49" s="8" t="s">
        <v>37</v>
      </c>
      <c r="K49" s="8" t="s">
        <v>124</v>
      </c>
      <c r="L49" s="9" t="s">
        <v>217</v>
      </c>
      <c r="M49" s="9" t="s">
        <v>215</v>
      </c>
      <c r="N49" s="9" t="s">
        <v>368</v>
      </c>
    </row>
    <row r="50" customFormat="false" ht="35.05" hidden="false" customHeight="false" outlineLevel="0" collapsed="false">
      <c r="A50" s="10" t="s">
        <v>369</v>
      </c>
      <c r="B50" s="10" t="s">
        <v>80</v>
      </c>
      <c r="C50" s="10" t="s">
        <v>120</v>
      </c>
      <c r="D50" s="11" t="s">
        <v>370</v>
      </c>
      <c r="E50" s="11" t="s">
        <v>371</v>
      </c>
      <c r="F50" s="11" t="s">
        <v>372</v>
      </c>
      <c r="G50" s="18" t="s">
        <v>52</v>
      </c>
      <c r="H50" s="10" t="s">
        <v>77</v>
      </c>
      <c r="I50" s="10" t="s">
        <v>78</v>
      </c>
      <c r="J50" s="8" t="s">
        <v>37</v>
      </c>
      <c r="K50" s="10" t="s">
        <v>124</v>
      </c>
      <c r="L50" s="11" t="s">
        <v>364</v>
      </c>
      <c r="M50" s="11" t="s">
        <v>169</v>
      </c>
      <c r="N50" s="11" t="s">
        <v>170</v>
      </c>
    </row>
    <row r="51" customFormat="false" ht="46.25" hidden="false" customHeight="false" outlineLevel="0" collapsed="false">
      <c r="A51" s="8" t="s">
        <v>373</v>
      </c>
      <c r="B51" s="8" t="s">
        <v>80</v>
      </c>
      <c r="C51" s="8" t="s">
        <v>120</v>
      </c>
      <c r="D51" s="9" t="s">
        <v>374</v>
      </c>
      <c r="E51" s="9" t="s">
        <v>375</v>
      </c>
      <c r="F51" s="9" t="s">
        <v>376</v>
      </c>
      <c r="G51" s="19" t="s">
        <v>52</v>
      </c>
      <c r="H51" s="8" t="s">
        <v>56</v>
      </c>
      <c r="I51" s="8" t="s">
        <v>78</v>
      </c>
      <c r="J51" s="8" t="s">
        <v>37</v>
      </c>
      <c r="K51" s="8" t="s">
        <v>124</v>
      </c>
      <c r="L51" s="9" t="s">
        <v>125</v>
      </c>
      <c r="M51" s="9" t="s">
        <v>230</v>
      </c>
      <c r="N51" s="9" t="s">
        <v>268</v>
      </c>
    </row>
    <row r="52" customFormat="false" ht="79.85" hidden="false" customHeight="false" outlineLevel="0" collapsed="false">
      <c r="A52" s="10" t="s">
        <v>377</v>
      </c>
      <c r="B52" s="10" t="s">
        <v>83</v>
      </c>
      <c r="C52" s="10" t="s">
        <v>159</v>
      </c>
      <c r="D52" s="11" t="s">
        <v>378</v>
      </c>
      <c r="E52" s="11" t="s">
        <v>379</v>
      </c>
      <c r="F52" s="11" t="s">
        <v>380</v>
      </c>
      <c r="G52" s="16" t="s">
        <v>36</v>
      </c>
      <c r="H52" s="10" t="s">
        <v>41</v>
      </c>
      <c r="I52" s="10" t="s">
        <v>78</v>
      </c>
      <c r="J52" s="8" t="s">
        <v>37</v>
      </c>
      <c r="K52" s="10" t="s">
        <v>124</v>
      </c>
      <c r="L52" s="11" t="s">
        <v>140</v>
      </c>
      <c r="M52" s="11" t="s">
        <v>326</v>
      </c>
      <c r="N52" s="11" t="s">
        <v>381</v>
      </c>
    </row>
    <row r="53" customFormat="false" ht="91" hidden="false" customHeight="false" outlineLevel="0" collapsed="false">
      <c r="A53" s="8" t="s">
        <v>382</v>
      </c>
      <c r="B53" s="8" t="s">
        <v>83</v>
      </c>
      <c r="C53" s="8" t="s">
        <v>189</v>
      </c>
      <c r="D53" s="9" t="s">
        <v>383</v>
      </c>
      <c r="E53" s="9" t="s">
        <v>384</v>
      </c>
      <c r="F53" s="9" t="s">
        <v>385</v>
      </c>
      <c r="G53" s="17" t="s">
        <v>36</v>
      </c>
      <c r="H53" s="8" t="s">
        <v>41</v>
      </c>
      <c r="I53" s="8" t="s">
        <v>78</v>
      </c>
      <c r="J53" s="8" t="s">
        <v>37</v>
      </c>
      <c r="K53" s="8" t="s">
        <v>124</v>
      </c>
      <c r="L53" s="9" t="s">
        <v>386</v>
      </c>
      <c r="M53" s="9" t="s">
        <v>387</v>
      </c>
      <c r="N53" s="9" t="s">
        <v>388</v>
      </c>
    </row>
    <row r="54" customFormat="false" ht="57.45" hidden="false" customHeight="false" outlineLevel="0" collapsed="false">
      <c r="A54" s="10" t="s">
        <v>389</v>
      </c>
      <c r="B54" s="10" t="s">
        <v>83</v>
      </c>
      <c r="C54" s="10" t="s">
        <v>159</v>
      </c>
      <c r="D54" s="11" t="s">
        <v>390</v>
      </c>
      <c r="E54" s="11" t="s">
        <v>391</v>
      </c>
      <c r="F54" s="11" t="s">
        <v>392</v>
      </c>
      <c r="G54" s="16" t="s">
        <v>36</v>
      </c>
      <c r="H54" s="10" t="s">
        <v>56</v>
      </c>
      <c r="I54" s="10" t="s">
        <v>78</v>
      </c>
      <c r="J54" s="8" t="s">
        <v>37</v>
      </c>
      <c r="K54" s="10" t="s">
        <v>124</v>
      </c>
      <c r="L54" s="11" t="s">
        <v>382</v>
      </c>
      <c r="M54" s="11" t="s">
        <v>180</v>
      </c>
      <c r="N54" s="11" t="s">
        <v>393</v>
      </c>
    </row>
    <row r="55" customFormat="false" ht="57.45" hidden="false" customHeight="false" outlineLevel="0" collapsed="false">
      <c r="A55" s="8" t="s">
        <v>394</v>
      </c>
      <c r="B55" s="8" t="s">
        <v>83</v>
      </c>
      <c r="C55" s="8" t="s">
        <v>120</v>
      </c>
      <c r="D55" s="9" t="s">
        <v>395</v>
      </c>
      <c r="E55" s="9" t="s">
        <v>396</v>
      </c>
      <c r="F55" s="9" t="s">
        <v>397</v>
      </c>
      <c r="G55" s="17" t="s">
        <v>36</v>
      </c>
      <c r="H55" s="8" t="s">
        <v>77</v>
      </c>
      <c r="I55" s="8" t="s">
        <v>78</v>
      </c>
      <c r="J55" s="8" t="s">
        <v>37</v>
      </c>
      <c r="K55" s="8" t="s">
        <v>124</v>
      </c>
      <c r="L55" s="9" t="s">
        <v>398</v>
      </c>
      <c r="M55" s="9" t="s">
        <v>321</v>
      </c>
      <c r="N55" s="9" t="s">
        <v>275</v>
      </c>
    </row>
    <row r="56" customFormat="false" ht="57.45" hidden="false" customHeight="false" outlineLevel="0" collapsed="false">
      <c r="A56" s="10" t="s">
        <v>399</v>
      </c>
      <c r="B56" s="10" t="s">
        <v>83</v>
      </c>
      <c r="C56" s="10" t="s">
        <v>120</v>
      </c>
      <c r="D56" s="11" t="s">
        <v>400</v>
      </c>
      <c r="E56" s="11" t="s">
        <v>401</v>
      </c>
      <c r="F56" s="11" t="s">
        <v>402</v>
      </c>
      <c r="G56" s="16" t="s">
        <v>36</v>
      </c>
      <c r="H56" s="10" t="s">
        <v>77</v>
      </c>
      <c r="I56" s="10" t="s">
        <v>78</v>
      </c>
      <c r="J56" s="8" t="s">
        <v>37</v>
      </c>
      <c r="K56" s="10" t="s">
        <v>124</v>
      </c>
      <c r="L56" s="11" t="s">
        <v>377</v>
      </c>
      <c r="M56" s="11" t="s">
        <v>403</v>
      </c>
      <c r="N56" s="11" t="s">
        <v>404</v>
      </c>
    </row>
    <row r="57" customFormat="false" ht="46.25" hidden="false" customHeight="false" outlineLevel="0" collapsed="false">
      <c r="A57" s="8" t="s">
        <v>405</v>
      </c>
      <c r="B57" s="8" t="s">
        <v>83</v>
      </c>
      <c r="C57" s="8" t="s">
        <v>120</v>
      </c>
      <c r="D57" s="9" t="s">
        <v>406</v>
      </c>
      <c r="E57" s="9" t="s">
        <v>407</v>
      </c>
      <c r="F57" s="9" t="s">
        <v>408</v>
      </c>
      <c r="G57" s="19" t="s">
        <v>52</v>
      </c>
      <c r="H57" s="8" t="s">
        <v>56</v>
      </c>
      <c r="I57" s="8" t="s">
        <v>78</v>
      </c>
      <c r="J57" s="8" t="s">
        <v>37</v>
      </c>
      <c r="K57" s="8" t="s">
        <v>124</v>
      </c>
      <c r="L57" s="9" t="s">
        <v>377</v>
      </c>
      <c r="M57" s="9" t="s">
        <v>169</v>
      </c>
      <c r="N57" s="9" t="s">
        <v>170</v>
      </c>
    </row>
    <row r="58" customFormat="false" ht="91" hidden="false" customHeight="false" outlineLevel="0" collapsed="false">
      <c r="A58" s="10" t="s">
        <v>409</v>
      </c>
      <c r="B58" s="10" t="s">
        <v>86</v>
      </c>
      <c r="C58" s="10" t="s">
        <v>159</v>
      </c>
      <c r="D58" s="11" t="s">
        <v>410</v>
      </c>
      <c r="E58" s="11" t="s">
        <v>411</v>
      </c>
      <c r="F58" s="11" t="s">
        <v>412</v>
      </c>
      <c r="G58" s="18" t="s">
        <v>52</v>
      </c>
      <c r="H58" s="10" t="s">
        <v>56</v>
      </c>
      <c r="I58" s="10" t="s">
        <v>78</v>
      </c>
      <c r="J58" s="8" t="s">
        <v>37</v>
      </c>
      <c r="K58" s="10" t="s">
        <v>124</v>
      </c>
      <c r="L58" s="11" t="s">
        <v>152</v>
      </c>
      <c r="M58" s="11" t="s">
        <v>163</v>
      </c>
      <c r="N58" s="11" t="s">
        <v>413</v>
      </c>
    </row>
    <row r="59" customFormat="false" ht="35.05" hidden="false" customHeight="false" outlineLevel="0" collapsed="false">
      <c r="A59" s="8" t="s">
        <v>414</v>
      </c>
      <c r="B59" s="8" t="s">
        <v>86</v>
      </c>
      <c r="C59" s="8" t="s">
        <v>120</v>
      </c>
      <c r="D59" s="9" t="s">
        <v>415</v>
      </c>
      <c r="E59" s="9" t="s">
        <v>416</v>
      </c>
      <c r="F59" s="9" t="s">
        <v>417</v>
      </c>
      <c r="G59" s="19" t="s">
        <v>52</v>
      </c>
      <c r="H59" s="8" t="s">
        <v>132</v>
      </c>
      <c r="I59" s="8" t="s">
        <v>78</v>
      </c>
      <c r="J59" s="8" t="s">
        <v>37</v>
      </c>
      <c r="K59" s="8" t="s">
        <v>124</v>
      </c>
      <c r="L59" s="9" t="s">
        <v>409</v>
      </c>
      <c r="M59" s="9" t="s">
        <v>169</v>
      </c>
      <c r="N59" s="9" t="s">
        <v>170</v>
      </c>
    </row>
    <row r="60" customFormat="false" ht="46.25" hidden="false" customHeight="false" outlineLevel="0" collapsed="false">
      <c r="A60" s="10" t="s">
        <v>418</v>
      </c>
      <c r="B60" s="10" t="s">
        <v>86</v>
      </c>
      <c r="C60" s="10" t="s">
        <v>120</v>
      </c>
      <c r="D60" s="11" t="s">
        <v>419</v>
      </c>
      <c r="E60" s="11" t="s">
        <v>420</v>
      </c>
      <c r="F60" s="11" t="s">
        <v>421</v>
      </c>
      <c r="G60" s="18" t="s">
        <v>52</v>
      </c>
      <c r="H60" s="10" t="s">
        <v>77</v>
      </c>
      <c r="I60" s="10" t="s">
        <v>78</v>
      </c>
      <c r="J60" s="8" t="s">
        <v>37</v>
      </c>
      <c r="K60" s="10" t="s">
        <v>124</v>
      </c>
      <c r="L60" s="11" t="s">
        <v>422</v>
      </c>
      <c r="M60" s="11" t="s">
        <v>215</v>
      </c>
      <c r="N60" s="11" t="s">
        <v>423</v>
      </c>
    </row>
    <row r="61" customFormat="false" ht="91" hidden="false" customHeight="false" outlineLevel="0" collapsed="false">
      <c r="A61" s="8" t="s">
        <v>424</v>
      </c>
      <c r="B61" s="8" t="s">
        <v>89</v>
      </c>
      <c r="C61" s="8" t="s">
        <v>120</v>
      </c>
      <c r="D61" s="9" t="s">
        <v>425</v>
      </c>
      <c r="E61" s="9" t="s">
        <v>426</v>
      </c>
      <c r="F61" s="9" t="s">
        <v>427</v>
      </c>
      <c r="G61" s="17" t="s">
        <v>36</v>
      </c>
      <c r="H61" s="8" t="s">
        <v>56</v>
      </c>
      <c r="I61" s="8" t="s">
        <v>78</v>
      </c>
      <c r="J61" s="8" t="s">
        <v>37</v>
      </c>
      <c r="K61" s="8" t="s">
        <v>124</v>
      </c>
      <c r="L61" s="9" t="s">
        <v>135</v>
      </c>
      <c r="M61" s="9" t="s">
        <v>428</v>
      </c>
      <c r="N61" s="9" t="s">
        <v>429</v>
      </c>
    </row>
    <row r="62" customFormat="false" ht="46.25" hidden="false" customHeight="false" outlineLevel="0" collapsed="false">
      <c r="A62" s="10" t="s">
        <v>430</v>
      </c>
      <c r="B62" s="10" t="s">
        <v>89</v>
      </c>
      <c r="C62" s="10" t="s">
        <v>120</v>
      </c>
      <c r="D62" s="11" t="s">
        <v>431</v>
      </c>
      <c r="E62" s="11" t="s">
        <v>432</v>
      </c>
      <c r="F62" s="11" t="s">
        <v>433</v>
      </c>
      <c r="G62" s="16" t="s">
        <v>36</v>
      </c>
      <c r="H62" s="10" t="s">
        <v>77</v>
      </c>
      <c r="I62" s="10" t="s">
        <v>78</v>
      </c>
      <c r="J62" s="8" t="s">
        <v>37</v>
      </c>
      <c r="K62" s="10" t="s">
        <v>124</v>
      </c>
      <c r="L62" s="11" t="s">
        <v>135</v>
      </c>
      <c r="M62" s="11" t="s">
        <v>434</v>
      </c>
      <c r="N62" s="11" t="s">
        <v>435</v>
      </c>
    </row>
    <row r="63" customFormat="false" ht="79.85" hidden="false" customHeight="false" outlineLevel="0" collapsed="false">
      <c r="A63" s="8" t="s">
        <v>436</v>
      </c>
      <c r="B63" s="8" t="s">
        <v>89</v>
      </c>
      <c r="C63" s="8" t="s">
        <v>120</v>
      </c>
      <c r="D63" s="9" t="s">
        <v>437</v>
      </c>
      <c r="E63" s="9" t="s">
        <v>438</v>
      </c>
      <c r="F63" s="9" t="s">
        <v>439</v>
      </c>
      <c r="G63" s="17" t="s">
        <v>36</v>
      </c>
      <c r="H63" s="8" t="s">
        <v>41</v>
      </c>
      <c r="I63" s="8" t="s">
        <v>78</v>
      </c>
      <c r="J63" s="8" t="s">
        <v>37</v>
      </c>
      <c r="K63" s="8" t="s">
        <v>124</v>
      </c>
      <c r="L63" s="9" t="s">
        <v>440</v>
      </c>
      <c r="M63" s="9" t="s">
        <v>441</v>
      </c>
      <c r="N63" s="9" t="s">
        <v>442</v>
      </c>
    </row>
    <row r="64" customFormat="false" ht="57.45" hidden="false" customHeight="false" outlineLevel="0" collapsed="false">
      <c r="A64" s="10" t="s">
        <v>443</v>
      </c>
      <c r="B64" s="10" t="s">
        <v>89</v>
      </c>
      <c r="C64" s="10" t="s">
        <v>120</v>
      </c>
      <c r="D64" s="11" t="s">
        <v>444</v>
      </c>
      <c r="E64" s="11" t="s">
        <v>445</v>
      </c>
      <c r="F64" s="11" t="s">
        <v>446</v>
      </c>
      <c r="G64" s="16" t="s">
        <v>36</v>
      </c>
      <c r="H64" s="10" t="s">
        <v>77</v>
      </c>
      <c r="I64" s="10" t="s">
        <v>78</v>
      </c>
      <c r="J64" s="8" t="s">
        <v>37</v>
      </c>
      <c r="K64" s="10" t="s">
        <v>124</v>
      </c>
      <c r="L64" s="11" t="s">
        <v>125</v>
      </c>
      <c r="M64" s="11" t="s">
        <v>209</v>
      </c>
      <c r="N64" s="11" t="s">
        <v>447</v>
      </c>
    </row>
    <row r="65" customFormat="false" ht="57.45" hidden="false" customHeight="false" outlineLevel="0" collapsed="false">
      <c r="A65" s="8" t="s">
        <v>448</v>
      </c>
      <c r="B65" s="8" t="s">
        <v>89</v>
      </c>
      <c r="C65" s="8" t="s">
        <v>120</v>
      </c>
      <c r="D65" s="9" t="s">
        <v>449</v>
      </c>
      <c r="E65" s="9" t="s">
        <v>450</v>
      </c>
      <c r="F65" s="9" t="s">
        <v>451</v>
      </c>
      <c r="G65" s="19" t="s">
        <v>52</v>
      </c>
      <c r="H65" s="8" t="s">
        <v>132</v>
      </c>
      <c r="I65" s="8" t="s">
        <v>78</v>
      </c>
      <c r="J65" s="8" t="s">
        <v>37</v>
      </c>
      <c r="K65" s="8" t="s">
        <v>124</v>
      </c>
      <c r="L65" s="9" t="s">
        <v>125</v>
      </c>
      <c r="M65" s="9" t="s">
        <v>452</v>
      </c>
      <c r="N65" s="9" t="s">
        <v>453</v>
      </c>
    </row>
    <row r="66" customFormat="false" ht="57.45" hidden="false" customHeight="false" outlineLevel="0" collapsed="false">
      <c r="A66" s="10" t="s">
        <v>454</v>
      </c>
      <c r="B66" s="10" t="s">
        <v>93</v>
      </c>
      <c r="C66" s="10" t="s">
        <v>120</v>
      </c>
      <c r="D66" s="11" t="s">
        <v>455</v>
      </c>
      <c r="E66" s="11" t="s">
        <v>456</v>
      </c>
      <c r="F66" s="11" t="s">
        <v>457</v>
      </c>
      <c r="G66" s="16" t="s">
        <v>36</v>
      </c>
      <c r="H66" s="10" t="s">
        <v>56</v>
      </c>
      <c r="I66" s="10" t="s">
        <v>78</v>
      </c>
      <c r="J66" s="8" t="s">
        <v>37</v>
      </c>
      <c r="K66" s="10" t="s">
        <v>124</v>
      </c>
      <c r="L66" s="11" t="s">
        <v>146</v>
      </c>
      <c r="M66" s="11" t="s">
        <v>274</v>
      </c>
      <c r="N66" s="11" t="s">
        <v>151</v>
      </c>
    </row>
    <row r="67" customFormat="false" ht="68.65" hidden="false" customHeight="false" outlineLevel="0" collapsed="false">
      <c r="A67" s="8" t="s">
        <v>458</v>
      </c>
      <c r="B67" s="8" t="s">
        <v>93</v>
      </c>
      <c r="C67" s="8" t="s">
        <v>120</v>
      </c>
      <c r="D67" s="9" t="s">
        <v>459</v>
      </c>
      <c r="E67" s="9" t="s">
        <v>460</v>
      </c>
      <c r="F67" s="9" t="s">
        <v>461</v>
      </c>
      <c r="G67" s="17" t="s">
        <v>36</v>
      </c>
      <c r="H67" s="8" t="s">
        <v>41</v>
      </c>
      <c r="I67" s="8" t="s">
        <v>78</v>
      </c>
      <c r="J67" s="8" t="s">
        <v>37</v>
      </c>
      <c r="K67" s="8" t="s">
        <v>124</v>
      </c>
      <c r="L67" s="9" t="s">
        <v>382</v>
      </c>
      <c r="M67" s="9" t="s">
        <v>462</v>
      </c>
      <c r="N67" s="9" t="s">
        <v>463</v>
      </c>
    </row>
    <row r="68" customFormat="false" ht="46.25" hidden="false" customHeight="false" outlineLevel="0" collapsed="false">
      <c r="A68" s="10" t="s">
        <v>464</v>
      </c>
      <c r="B68" s="10" t="s">
        <v>93</v>
      </c>
      <c r="C68" s="10" t="s">
        <v>120</v>
      </c>
      <c r="D68" s="11" t="s">
        <v>465</v>
      </c>
      <c r="E68" s="11" t="s">
        <v>466</v>
      </c>
      <c r="F68" s="11" t="s">
        <v>467</v>
      </c>
      <c r="G68" s="18" t="s">
        <v>52</v>
      </c>
      <c r="H68" s="10" t="s">
        <v>77</v>
      </c>
      <c r="I68" s="10" t="s">
        <v>78</v>
      </c>
      <c r="J68" s="8" t="s">
        <v>37</v>
      </c>
      <c r="K68" s="10" t="s">
        <v>124</v>
      </c>
      <c r="L68" s="11" t="s">
        <v>468</v>
      </c>
      <c r="M68" s="11" t="s">
        <v>469</v>
      </c>
      <c r="N68" s="11" t="s">
        <v>470</v>
      </c>
    </row>
    <row r="69" customFormat="false" ht="46.25" hidden="false" customHeight="false" outlineLevel="0" collapsed="false">
      <c r="A69" s="8" t="s">
        <v>471</v>
      </c>
      <c r="B69" s="8" t="s">
        <v>93</v>
      </c>
      <c r="C69" s="8" t="s">
        <v>120</v>
      </c>
      <c r="D69" s="9" t="s">
        <v>472</v>
      </c>
      <c r="E69" s="9" t="s">
        <v>473</v>
      </c>
      <c r="F69" s="9" t="s">
        <v>474</v>
      </c>
      <c r="G69" s="19" t="s">
        <v>52</v>
      </c>
      <c r="H69" s="8" t="s">
        <v>132</v>
      </c>
      <c r="I69" s="8" t="s">
        <v>78</v>
      </c>
      <c r="J69" s="8" t="s">
        <v>37</v>
      </c>
      <c r="K69" s="8" t="s">
        <v>124</v>
      </c>
      <c r="L69" s="9" t="s">
        <v>454</v>
      </c>
      <c r="M69" s="9" t="s">
        <v>321</v>
      </c>
      <c r="N69" s="9" t="s">
        <v>475</v>
      </c>
    </row>
    <row r="70" customFormat="false" ht="57.45" hidden="false" customHeight="false" outlineLevel="0" collapsed="false">
      <c r="A70" s="10" t="s">
        <v>476</v>
      </c>
      <c r="B70" s="10" t="s">
        <v>96</v>
      </c>
      <c r="C70" s="10" t="s">
        <v>120</v>
      </c>
      <c r="D70" s="11" t="s">
        <v>477</v>
      </c>
      <c r="E70" s="11" t="s">
        <v>478</v>
      </c>
      <c r="F70" s="11" t="s">
        <v>479</v>
      </c>
      <c r="G70" s="16" t="s">
        <v>36</v>
      </c>
      <c r="H70" s="10" t="s">
        <v>41</v>
      </c>
      <c r="I70" s="10" t="s">
        <v>99</v>
      </c>
      <c r="J70" s="8" t="s">
        <v>37</v>
      </c>
      <c r="K70" s="10" t="s">
        <v>124</v>
      </c>
      <c r="L70" s="11" t="s">
        <v>480</v>
      </c>
      <c r="M70" s="11" t="s">
        <v>481</v>
      </c>
      <c r="N70" s="11" t="s">
        <v>482</v>
      </c>
    </row>
    <row r="71" customFormat="false" ht="57.45" hidden="false" customHeight="false" outlineLevel="0" collapsed="false">
      <c r="A71" s="8" t="s">
        <v>483</v>
      </c>
      <c r="B71" s="8" t="s">
        <v>96</v>
      </c>
      <c r="C71" s="8" t="s">
        <v>120</v>
      </c>
      <c r="D71" s="9" t="s">
        <v>484</v>
      </c>
      <c r="E71" s="9" t="s">
        <v>485</v>
      </c>
      <c r="F71" s="9" t="s">
        <v>486</v>
      </c>
      <c r="G71" s="17" t="s">
        <v>36</v>
      </c>
      <c r="H71" s="8" t="s">
        <v>56</v>
      </c>
      <c r="I71" s="8" t="s">
        <v>99</v>
      </c>
      <c r="J71" s="8" t="s">
        <v>37</v>
      </c>
      <c r="K71" s="8" t="s">
        <v>124</v>
      </c>
      <c r="L71" s="9" t="s">
        <v>480</v>
      </c>
      <c r="M71" s="9" t="s">
        <v>487</v>
      </c>
      <c r="N71" s="9" t="s">
        <v>482</v>
      </c>
    </row>
    <row r="72" customFormat="false" ht="79.85" hidden="false" customHeight="false" outlineLevel="0" collapsed="false">
      <c r="A72" s="10" t="s">
        <v>488</v>
      </c>
      <c r="B72" s="10" t="s">
        <v>96</v>
      </c>
      <c r="C72" s="10" t="s">
        <v>120</v>
      </c>
      <c r="D72" s="11" t="s">
        <v>489</v>
      </c>
      <c r="E72" s="11" t="s">
        <v>490</v>
      </c>
      <c r="F72" s="11" t="s">
        <v>491</v>
      </c>
      <c r="G72" s="16" t="s">
        <v>36</v>
      </c>
      <c r="H72" s="10" t="s">
        <v>41</v>
      </c>
      <c r="I72" s="10" t="s">
        <v>99</v>
      </c>
      <c r="J72" s="8" t="s">
        <v>37</v>
      </c>
      <c r="K72" s="10" t="s">
        <v>124</v>
      </c>
      <c r="L72" s="11" t="s">
        <v>480</v>
      </c>
      <c r="M72" s="11" t="s">
        <v>492</v>
      </c>
      <c r="N72" s="11" t="s">
        <v>493</v>
      </c>
    </row>
    <row r="73" customFormat="false" ht="46.25" hidden="false" customHeight="false" outlineLevel="0" collapsed="false">
      <c r="A73" s="8" t="s">
        <v>494</v>
      </c>
      <c r="B73" s="8" t="s">
        <v>96</v>
      </c>
      <c r="C73" s="8" t="s">
        <v>120</v>
      </c>
      <c r="D73" s="9" t="s">
        <v>495</v>
      </c>
      <c r="E73" s="9" t="s">
        <v>496</v>
      </c>
      <c r="F73" s="9" t="s">
        <v>497</v>
      </c>
      <c r="G73" s="17" t="s">
        <v>36</v>
      </c>
      <c r="H73" s="8" t="s">
        <v>77</v>
      </c>
      <c r="I73" s="8" t="s">
        <v>99</v>
      </c>
      <c r="J73" s="8" t="s">
        <v>37</v>
      </c>
      <c r="K73" s="8" t="s">
        <v>124</v>
      </c>
      <c r="L73" s="9" t="s">
        <v>436</v>
      </c>
      <c r="M73" s="9" t="s">
        <v>498</v>
      </c>
      <c r="N73" s="9" t="s">
        <v>447</v>
      </c>
    </row>
    <row r="74" customFormat="false" ht="57.45" hidden="false" customHeight="false" outlineLevel="0" collapsed="false">
      <c r="A74" s="10" t="s">
        <v>499</v>
      </c>
      <c r="B74" s="10" t="s">
        <v>96</v>
      </c>
      <c r="C74" s="10" t="s">
        <v>120</v>
      </c>
      <c r="D74" s="11" t="s">
        <v>500</v>
      </c>
      <c r="E74" s="11" t="s">
        <v>501</v>
      </c>
      <c r="F74" s="11" t="s">
        <v>502</v>
      </c>
      <c r="G74" s="16" t="s">
        <v>36</v>
      </c>
      <c r="H74" s="10" t="s">
        <v>56</v>
      </c>
      <c r="I74" s="10" t="s">
        <v>99</v>
      </c>
      <c r="J74" s="8" t="s">
        <v>37</v>
      </c>
      <c r="K74" s="10" t="s">
        <v>124</v>
      </c>
      <c r="L74" s="11" t="s">
        <v>503</v>
      </c>
      <c r="M74" s="11" t="s">
        <v>504</v>
      </c>
      <c r="N74" s="11" t="s">
        <v>505</v>
      </c>
    </row>
    <row r="75" customFormat="false" ht="57.45" hidden="false" customHeight="false" outlineLevel="0" collapsed="false">
      <c r="A75" s="8" t="s">
        <v>506</v>
      </c>
      <c r="B75" s="8" t="s">
        <v>101</v>
      </c>
      <c r="C75" s="8" t="s">
        <v>120</v>
      </c>
      <c r="D75" s="9" t="s">
        <v>507</v>
      </c>
      <c r="E75" s="9" t="s">
        <v>508</v>
      </c>
      <c r="F75" s="9" t="s">
        <v>509</v>
      </c>
      <c r="G75" s="19" t="s">
        <v>52</v>
      </c>
      <c r="H75" s="8" t="s">
        <v>56</v>
      </c>
      <c r="I75" s="8" t="s">
        <v>99</v>
      </c>
      <c r="J75" s="8" t="s">
        <v>37</v>
      </c>
      <c r="K75" s="8" t="s">
        <v>124</v>
      </c>
      <c r="L75" s="9" t="s">
        <v>135</v>
      </c>
      <c r="M75" s="9" t="s">
        <v>462</v>
      </c>
      <c r="N75" s="9" t="s">
        <v>510</v>
      </c>
    </row>
    <row r="76" customFormat="false" ht="68.65" hidden="false" customHeight="false" outlineLevel="0" collapsed="false">
      <c r="A76" s="10" t="s">
        <v>511</v>
      </c>
      <c r="B76" s="10" t="s">
        <v>101</v>
      </c>
      <c r="C76" s="10" t="s">
        <v>120</v>
      </c>
      <c r="D76" s="11" t="s">
        <v>512</v>
      </c>
      <c r="E76" s="11" t="s">
        <v>513</v>
      </c>
      <c r="F76" s="11" t="s">
        <v>514</v>
      </c>
      <c r="G76" s="18" t="s">
        <v>52</v>
      </c>
      <c r="H76" s="10" t="s">
        <v>41</v>
      </c>
      <c r="I76" s="10" t="s">
        <v>99</v>
      </c>
      <c r="J76" s="8" t="s">
        <v>37</v>
      </c>
      <c r="K76" s="10" t="s">
        <v>124</v>
      </c>
      <c r="L76" s="11" t="s">
        <v>506</v>
      </c>
      <c r="M76" s="11" t="s">
        <v>515</v>
      </c>
      <c r="N76" s="11" t="s">
        <v>516</v>
      </c>
    </row>
    <row r="77" customFormat="false" ht="46.25" hidden="false" customHeight="false" outlineLevel="0" collapsed="false">
      <c r="A77" s="8" t="s">
        <v>517</v>
      </c>
      <c r="B77" s="8" t="s">
        <v>101</v>
      </c>
      <c r="C77" s="8" t="s">
        <v>120</v>
      </c>
      <c r="D77" s="9" t="s">
        <v>518</v>
      </c>
      <c r="E77" s="9" t="s">
        <v>519</v>
      </c>
      <c r="F77" s="9" t="s">
        <v>520</v>
      </c>
      <c r="G77" s="19" t="s">
        <v>52</v>
      </c>
      <c r="H77" s="8" t="s">
        <v>77</v>
      </c>
      <c r="I77" s="8" t="s">
        <v>99</v>
      </c>
      <c r="J77" s="8" t="s">
        <v>37</v>
      </c>
      <c r="K77" s="8" t="s">
        <v>124</v>
      </c>
      <c r="L77" s="9" t="s">
        <v>506</v>
      </c>
      <c r="M77" s="9" t="s">
        <v>521</v>
      </c>
      <c r="N77" s="9" t="s">
        <v>522</v>
      </c>
    </row>
    <row r="78" customFormat="false" ht="46.25" hidden="false" customHeight="false" outlineLevel="0" collapsed="false">
      <c r="A78" s="10" t="s">
        <v>523</v>
      </c>
      <c r="B78" s="10" t="s">
        <v>101</v>
      </c>
      <c r="C78" s="10" t="s">
        <v>120</v>
      </c>
      <c r="D78" s="11" t="s">
        <v>524</v>
      </c>
      <c r="E78" s="11" t="s">
        <v>525</v>
      </c>
      <c r="F78" s="11" t="s">
        <v>526</v>
      </c>
      <c r="G78" s="18" t="s">
        <v>52</v>
      </c>
      <c r="H78" s="10" t="s">
        <v>132</v>
      </c>
      <c r="I78" s="10" t="s">
        <v>99</v>
      </c>
      <c r="J78" s="8" t="s">
        <v>37</v>
      </c>
      <c r="K78" s="10" t="s">
        <v>124</v>
      </c>
      <c r="L78" s="11" t="s">
        <v>527</v>
      </c>
      <c r="M78" s="11" t="s">
        <v>462</v>
      </c>
      <c r="N78" s="11" t="s">
        <v>528</v>
      </c>
    </row>
    <row r="79" customFormat="false" ht="68.65" hidden="false" customHeight="false" outlineLevel="0" collapsed="false">
      <c r="A79" s="8" t="s">
        <v>529</v>
      </c>
      <c r="B79" s="8" t="s">
        <v>104</v>
      </c>
      <c r="C79" s="8" t="s">
        <v>120</v>
      </c>
      <c r="D79" s="9" t="s">
        <v>530</v>
      </c>
      <c r="E79" s="9" t="s">
        <v>531</v>
      </c>
      <c r="F79" s="9" t="s">
        <v>532</v>
      </c>
      <c r="G79" s="19" t="s">
        <v>52</v>
      </c>
      <c r="H79" s="8" t="s">
        <v>77</v>
      </c>
      <c r="I79" s="8" t="s">
        <v>99</v>
      </c>
      <c r="J79" s="8" t="s">
        <v>37</v>
      </c>
      <c r="K79" s="8" t="s">
        <v>124</v>
      </c>
      <c r="L79" s="9" t="s">
        <v>125</v>
      </c>
      <c r="M79" s="9" t="s">
        <v>533</v>
      </c>
      <c r="N79" s="9" t="s">
        <v>534</v>
      </c>
    </row>
    <row r="80" customFormat="false" ht="57.45" hidden="false" customHeight="false" outlineLevel="0" collapsed="false">
      <c r="A80" s="10" t="s">
        <v>535</v>
      </c>
      <c r="B80" s="10" t="s">
        <v>104</v>
      </c>
      <c r="C80" s="10" t="s">
        <v>120</v>
      </c>
      <c r="D80" s="11" t="s">
        <v>536</v>
      </c>
      <c r="E80" s="11" t="s">
        <v>537</v>
      </c>
      <c r="F80" s="11" t="s">
        <v>538</v>
      </c>
      <c r="G80" s="18" t="s">
        <v>52</v>
      </c>
      <c r="H80" s="10" t="s">
        <v>77</v>
      </c>
      <c r="I80" s="10" t="s">
        <v>99</v>
      </c>
      <c r="J80" s="8" t="s">
        <v>37</v>
      </c>
      <c r="K80" s="10" t="s">
        <v>124</v>
      </c>
      <c r="L80" s="11" t="s">
        <v>125</v>
      </c>
      <c r="M80" s="11" t="s">
        <v>533</v>
      </c>
      <c r="N80" s="11" t="s">
        <v>534</v>
      </c>
    </row>
    <row r="81" customFormat="false" ht="57.45" hidden="false" customHeight="false" outlineLevel="0" collapsed="false">
      <c r="A81" s="8" t="s">
        <v>539</v>
      </c>
      <c r="B81" s="8" t="s">
        <v>104</v>
      </c>
      <c r="C81" s="8" t="s">
        <v>120</v>
      </c>
      <c r="D81" s="9" t="s">
        <v>540</v>
      </c>
      <c r="E81" s="9" t="s">
        <v>541</v>
      </c>
      <c r="F81" s="9" t="s">
        <v>542</v>
      </c>
      <c r="G81" s="19" t="s">
        <v>52</v>
      </c>
      <c r="H81" s="8" t="s">
        <v>77</v>
      </c>
      <c r="I81" s="8" t="s">
        <v>99</v>
      </c>
      <c r="J81" s="8" t="s">
        <v>37</v>
      </c>
      <c r="K81" s="8" t="s">
        <v>124</v>
      </c>
      <c r="L81" s="9" t="s">
        <v>125</v>
      </c>
      <c r="M81" s="9" t="s">
        <v>533</v>
      </c>
      <c r="N81" s="9" t="s">
        <v>534</v>
      </c>
    </row>
    <row r="82" customFormat="false" ht="57.45" hidden="false" customHeight="false" outlineLevel="0" collapsed="false">
      <c r="A82" s="10" t="s">
        <v>543</v>
      </c>
      <c r="B82" s="10" t="s">
        <v>104</v>
      </c>
      <c r="C82" s="10" t="s">
        <v>120</v>
      </c>
      <c r="D82" s="11" t="s">
        <v>544</v>
      </c>
      <c r="E82" s="11" t="s">
        <v>545</v>
      </c>
      <c r="F82" s="11" t="s">
        <v>546</v>
      </c>
      <c r="G82" s="18" t="s">
        <v>52</v>
      </c>
      <c r="H82" s="10" t="s">
        <v>77</v>
      </c>
      <c r="I82" s="10" t="s">
        <v>99</v>
      </c>
      <c r="J82" s="8" t="s">
        <v>37</v>
      </c>
      <c r="K82" s="10" t="s">
        <v>124</v>
      </c>
      <c r="L82" s="11" t="s">
        <v>424</v>
      </c>
      <c r="M82" s="11" t="s">
        <v>547</v>
      </c>
      <c r="N82" s="11" t="s">
        <v>548</v>
      </c>
    </row>
  </sheetData>
  <autoFilter ref="A3:N3"/>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B981"/>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30"/>
    <col collapsed="false" customWidth="true" hidden="false" outlineLevel="0" max="4" min="4" style="0" width="20"/>
    <col collapsed="false" customWidth="true" hidden="false" outlineLevel="0" max="5" min="5" style="0" width="10"/>
    <col collapsed="false" customWidth="true" hidden="false" outlineLevel="0" max="6" min="6" style="0" width="50"/>
    <col collapsed="false" customWidth="true" hidden="false" outlineLevel="0" max="7" min="7" style="0" width="25"/>
  </cols>
  <sheetData>
    <row r="1" customFormat="false" ht="17.35" hidden="false" customHeight="false" outlineLevel="0" collapsed="false">
      <c r="A1" s="15" t="s">
        <v>549</v>
      </c>
      <c r="B1" s="15"/>
      <c r="C1" s="15"/>
      <c r="D1" s="15"/>
      <c r="E1" s="15"/>
      <c r="F1" s="15"/>
      <c r="G1" s="15"/>
    </row>
    <row r="3" customFormat="false" ht="26.85" hidden="false" customHeight="false" outlineLevel="0" collapsed="false">
      <c r="A3" s="7" t="s">
        <v>28</v>
      </c>
      <c r="B3" s="7" t="s">
        <v>550</v>
      </c>
      <c r="C3" s="7" t="s">
        <v>551</v>
      </c>
      <c r="D3" s="7" t="s">
        <v>26</v>
      </c>
      <c r="E3" s="7" t="s">
        <v>27</v>
      </c>
      <c r="F3" s="7" t="s">
        <v>552</v>
      </c>
      <c r="G3" s="7" t="s">
        <v>553</v>
      </c>
    </row>
    <row r="4" customFormat="false" ht="49.5" hidden="false" customHeight="true" outlineLevel="0" collapsed="false">
      <c r="A4" s="11" t="s">
        <v>554</v>
      </c>
      <c r="B4" s="11" t="s">
        <v>555</v>
      </c>
      <c r="C4" s="11" t="s">
        <v>32</v>
      </c>
      <c r="D4" s="11" t="s">
        <v>556</v>
      </c>
      <c r="E4" s="11" t="s">
        <v>34</v>
      </c>
      <c r="F4" s="11" t="s">
        <v>557</v>
      </c>
      <c r="G4" s="11" t="s">
        <v>558</v>
      </c>
    </row>
    <row r="5" customFormat="false" ht="49.5" hidden="false" customHeight="true" outlineLevel="0" collapsed="false">
      <c r="A5" s="9" t="s">
        <v>559</v>
      </c>
      <c r="B5" s="9" t="s">
        <v>560</v>
      </c>
      <c r="C5" s="9" t="s">
        <v>561</v>
      </c>
      <c r="D5" s="9" t="s">
        <v>562</v>
      </c>
      <c r="E5" s="9" t="s">
        <v>563</v>
      </c>
      <c r="F5" s="9" t="s">
        <v>564</v>
      </c>
      <c r="G5" s="9" t="s">
        <v>565</v>
      </c>
    </row>
    <row r="6" customFormat="false" ht="49.5" hidden="false" customHeight="true" outlineLevel="0" collapsed="false">
      <c r="A6" s="11" t="s">
        <v>566</v>
      </c>
      <c r="B6" s="11" t="s">
        <v>567</v>
      </c>
      <c r="C6" s="11" t="s">
        <v>568</v>
      </c>
      <c r="D6" s="11" t="s">
        <v>569</v>
      </c>
      <c r="E6" s="11" t="s">
        <v>570</v>
      </c>
      <c r="F6" s="11" t="s">
        <v>571</v>
      </c>
      <c r="G6" s="11" t="s">
        <v>572</v>
      </c>
    </row>
    <row r="7" customFormat="false" ht="49.5" hidden="false" customHeight="true" outlineLevel="0" collapsed="false">
      <c r="A7" s="9" t="s">
        <v>573</v>
      </c>
      <c r="B7" s="9" t="s">
        <v>574</v>
      </c>
      <c r="C7" s="9" t="s">
        <v>575</v>
      </c>
      <c r="D7" s="9" t="s">
        <v>576</v>
      </c>
      <c r="E7" s="9" t="s">
        <v>577</v>
      </c>
      <c r="F7" s="9" t="s">
        <v>578</v>
      </c>
      <c r="G7" s="9" t="s">
        <v>579</v>
      </c>
    </row>
    <row r="8" customFormat="false" ht="49.5" hidden="false" customHeight="true" outlineLevel="0" collapsed="false">
      <c r="A8" s="11" t="s">
        <v>580</v>
      </c>
      <c r="B8" s="11" t="s">
        <v>581</v>
      </c>
      <c r="C8" s="11" t="s">
        <v>582</v>
      </c>
      <c r="D8" s="11" t="s">
        <v>583</v>
      </c>
      <c r="E8" s="11" t="s">
        <v>584</v>
      </c>
      <c r="F8" s="11" t="s">
        <v>585</v>
      </c>
      <c r="G8" s="11" t="s">
        <v>586</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97316"/>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6" min="2" style="0" width="14"/>
  </cols>
  <sheetData>
    <row r="1" customFormat="false" ht="17.35" hidden="false" customHeight="false" outlineLevel="0" collapsed="false">
      <c r="A1" s="15" t="s">
        <v>587</v>
      </c>
      <c r="B1" s="15"/>
      <c r="C1" s="15"/>
      <c r="D1" s="15"/>
      <c r="E1" s="15"/>
      <c r="F1" s="15"/>
    </row>
    <row r="3" customFormat="false" ht="15" hidden="false" customHeight="false" outlineLevel="0" collapsed="false">
      <c r="A3" s="7" t="s">
        <v>110</v>
      </c>
      <c r="B3" s="7" t="s">
        <v>588</v>
      </c>
      <c r="C3" s="7" t="s">
        <v>37</v>
      </c>
      <c r="D3" s="7" t="s">
        <v>589</v>
      </c>
      <c r="E3" s="7" t="s">
        <v>590</v>
      </c>
      <c r="F3" s="7" t="s">
        <v>591</v>
      </c>
    </row>
    <row r="4" customFormat="false" ht="15" hidden="false" customHeight="false" outlineLevel="0" collapsed="false">
      <c r="A4" s="20" t="s">
        <v>592</v>
      </c>
      <c r="B4" s="10" t="n">
        <v>6</v>
      </c>
      <c r="C4" s="10" t="n">
        <v>6</v>
      </c>
      <c r="D4" s="10" t="n">
        <v>0</v>
      </c>
      <c r="E4" s="10" t="n">
        <v>0</v>
      </c>
      <c r="F4" s="21" t="n">
        <f aca="false">IF(B4=0,"-",E4/B4)</f>
        <v>0</v>
      </c>
    </row>
    <row r="5" customFormat="false" ht="15" hidden="false" customHeight="false" outlineLevel="0" collapsed="false">
      <c r="A5" s="22" t="s">
        <v>593</v>
      </c>
      <c r="B5" s="8" t="n">
        <v>4</v>
      </c>
      <c r="C5" s="8" t="n">
        <v>4</v>
      </c>
      <c r="D5" s="8" t="n">
        <v>0</v>
      </c>
      <c r="E5" s="8" t="n">
        <v>0</v>
      </c>
      <c r="F5" s="23" t="n">
        <f aca="false">IF(B5=0,"-",E5/B5)</f>
        <v>0</v>
      </c>
    </row>
    <row r="6" customFormat="false" ht="15" hidden="false" customHeight="false" outlineLevel="0" collapsed="false">
      <c r="A6" s="20" t="s">
        <v>594</v>
      </c>
      <c r="B6" s="10" t="n">
        <v>5</v>
      </c>
      <c r="C6" s="10" t="n">
        <v>5</v>
      </c>
      <c r="D6" s="10" t="n">
        <v>0</v>
      </c>
      <c r="E6" s="10" t="n">
        <v>0</v>
      </c>
      <c r="F6" s="21" t="n">
        <f aca="false">IF(B6=0,"-",E6/B6)</f>
        <v>0</v>
      </c>
    </row>
    <row r="7" customFormat="false" ht="15" hidden="false" customHeight="false" outlineLevel="0" collapsed="false">
      <c r="A7" s="22" t="s">
        <v>595</v>
      </c>
      <c r="B7" s="8" t="n">
        <v>4</v>
      </c>
      <c r="C7" s="8" t="n">
        <v>4</v>
      </c>
      <c r="D7" s="8" t="n">
        <v>0</v>
      </c>
      <c r="E7" s="8" t="n">
        <v>0</v>
      </c>
      <c r="F7" s="23" t="n">
        <f aca="false">IF(B7=0,"-",E7/B7)</f>
        <v>0</v>
      </c>
    </row>
    <row r="8" customFormat="false" ht="15" hidden="false" customHeight="false" outlineLevel="0" collapsed="false">
      <c r="A8" s="20" t="s">
        <v>596</v>
      </c>
      <c r="B8" s="10" t="n">
        <v>3</v>
      </c>
      <c r="C8" s="10" t="n">
        <v>3</v>
      </c>
      <c r="D8" s="10" t="n">
        <v>0</v>
      </c>
      <c r="E8" s="10" t="n">
        <v>0</v>
      </c>
      <c r="F8" s="21" t="n">
        <f aca="false">IF(B8=0,"-",E8/B8)</f>
        <v>0</v>
      </c>
    </row>
    <row r="9" customFormat="false" ht="15" hidden="false" customHeight="false" outlineLevel="0" collapsed="false">
      <c r="A9" s="22" t="s">
        <v>597</v>
      </c>
      <c r="B9" s="8" t="n">
        <v>8</v>
      </c>
      <c r="C9" s="8" t="n">
        <v>8</v>
      </c>
      <c r="D9" s="8" t="n">
        <v>0</v>
      </c>
      <c r="E9" s="8" t="n">
        <v>0</v>
      </c>
      <c r="F9" s="23" t="n">
        <f aca="false">IF(B9=0,"-",E9/B9)</f>
        <v>0</v>
      </c>
    </row>
    <row r="10" customFormat="false" ht="15" hidden="false" customHeight="false" outlineLevel="0" collapsed="false">
      <c r="A10" s="20" t="s">
        <v>598</v>
      </c>
      <c r="B10" s="10" t="n">
        <v>7</v>
      </c>
      <c r="C10" s="10" t="n">
        <v>7</v>
      </c>
      <c r="D10" s="10" t="n">
        <v>0</v>
      </c>
      <c r="E10" s="10" t="n">
        <v>0</v>
      </c>
      <c r="F10" s="21" t="n">
        <f aca="false">IF(B10=0,"-",E10/B10)</f>
        <v>0</v>
      </c>
    </row>
    <row r="11" customFormat="false" ht="15" hidden="false" customHeight="false" outlineLevel="0" collapsed="false">
      <c r="A11" s="22" t="s">
        <v>599</v>
      </c>
      <c r="B11" s="8" t="n">
        <v>3</v>
      </c>
      <c r="C11" s="8" t="n">
        <v>3</v>
      </c>
      <c r="D11" s="8" t="n">
        <v>0</v>
      </c>
      <c r="E11" s="8" t="n">
        <v>0</v>
      </c>
      <c r="F11" s="23" t="n">
        <f aca="false">IF(B11=0,"-",E11/B11)</f>
        <v>0</v>
      </c>
    </row>
    <row r="12" customFormat="false" ht="15" hidden="false" customHeight="false" outlineLevel="0" collapsed="false">
      <c r="A12" s="20" t="s">
        <v>600</v>
      </c>
      <c r="B12" s="10" t="n">
        <v>3</v>
      </c>
      <c r="C12" s="10" t="n">
        <v>3</v>
      </c>
      <c r="D12" s="10" t="n">
        <v>0</v>
      </c>
      <c r="E12" s="10" t="n">
        <v>0</v>
      </c>
      <c r="F12" s="21" t="n">
        <f aca="false">IF(B12=0,"-",E12/B12)</f>
        <v>0</v>
      </c>
    </row>
    <row r="13" customFormat="false" ht="15" hidden="false" customHeight="false" outlineLevel="0" collapsed="false">
      <c r="A13" s="22" t="s">
        <v>601</v>
      </c>
      <c r="B13" s="8" t="n">
        <v>2</v>
      </c>
      <c r="C13" s="8" t="n">
        <v>2</v>
      </c>
      <c r="D13" s="8" t="n">
        <v>0</v>
      </c>
      <c r="E13" s="8" t="n">
        <v>0</v>
      </c>
      <c r="F13" s="23" t="n">
        <f aca="false">IF(B13=0,"-",E13/B13)</f>
        <v>0</v>
      </c>
    </row>
    <row r="14" customFormat="false" ht="15" hidden="false" customHeight="false" outlineLevel="0" collapsed="false">
      <c r="A14" s="20" t="s">
        <v>602</v>
      </c>
      <c r="B14" s="10" t="n">
        <v>3</v>
      </c>
      <c r="C14" s="10" t="n">
        <v>3</v>
      </c>
      <c r="D14" s="10" t="n">
        <v>0</v>
      </c>
      <c r="E14" s="10" t="n">
        <v>0</v>
      </c>
      <c r="F14" s="21" t="n">
        <f aca="false">IF(B14=0,"-",E14/B14)</f>
        <v>0</v>
      </c>
    </row>
    <row r="15" customFormat="false" ht="15" hidden="false" customHeight="false" outlineLevel="0" collapsed="false">
      <c r="A15" s="22" t="s">
        <v>603</v>
      </c>
      <c r="B15" s="8" t="n">
        <v>6</v>
      </c>
      <c r="C15" s="8" t="n">
        <v>6</v>
      </c>
      <c r="D15" s="8" t="n">
        <v>0</v>
      </c>
      <c r="E15" s="8" t="n">
        <v>0</v>
      </c>
      <c r="F15" s="23" t="n">
        <f aca="false">IF(B15=0,"-",E15/B15)</f>
        <v>0</v>
      </c>
    </row>
    <row r="16" customFormat="false" ht="15" hidden="false" customHeight="false" outlineLevel="0" collapsed="false">
      <c r="A16" s="20" t="s">
        <v>604</v>
      </c>
      <c r="B16" s="10" t="n">
        <v>3</v>
      </c>
      <c r="C16" s="10" t="n">
        <v>3</v>
      </c>
      <c r="D16" s="10" t="n">
        <v>0</v>
      </c>
      <c r="E16" s="10" t="n">
        <v>0</v>
      </c>
      <c r="F16" s="21" t="n">
        <f aca="false">IF(B16=0,"-",E16/B16)</f>
        <v>0</v>
      </c>
    </row>
    <row r="17" customFormat="false" ht="15" hidden="false" customHeight="false" outlineLevel="0" collapsed="false">
      <c r="A17" s="22" t="s">
        <v>605</v>
      </c>
      <c r="B17" s="8" t="n">
        <v>5</v>
      </c>
      <c r="C17" s="8" t="n">
        <v>5</v>
      </c>
      <c r="D17" s="8" t="n">
        <v>0</v>
      </c>
      <c r="E17" s="8" t="n">
        <v>0</v>
      </c>
      <c r="F17" s="23" t="n">
        <f aca="false">IF(B17=0,"-",E17/B17)</f>
        <v>0</v>
      </c>
    </row>
    <row r="18" customFormat="false" ht="15" hidden="false" customHeight="false" outlineLevel="0" collapsed="false">
      <c r="A18" s="20" t="s">
        <v>606</v>
      </c>
      <c r="B18" s="10" t="n">
        <v>4</v>
      </c>
      <c r="C18" s="10" t="n">
        <v>4</v>
      </c>
      <c r="D18" s="10" t="n">
        <v>0</v>
      </c>
      <c r="E18" s="10" t="n">
        <v>0</v>
      </c>
      <c r="F18" s="21" t="n">
        <f aca="false">IF(B18=0,"-",E18/B18)</f>
        <v>0</v>
      </c>
    </row>
    <row r="19" customFormat="false" ht="15" hidden="false" customHeight="false" outlineLevel="0" collapsed="false">
      <c r="A19" s="22" t="s">
        <v>607</v>
      </c>
      <c r="B19" s="8" t="n">
        <v>5</v>
      </c>
      <c r="C19" s="8" t="n">
        <v>5</v>
      </c>
      <c r="D19" s="8" t="n">
        <v>0</v>
      </c>
      <c r="E19" s="8" t="n">
        <v>0</v>
      </c>
      <c r="F19" s="23" t="n">
        <f aca="false">IF(B19=0,"-",E19/B19)</f>
        <v>0</v>
      </c>
    </row>
    <row r="20" customFormat="false" ht="15" hidden="false" customHeight="false" outlineLevel="0" collapsed="false">
      <c r="A20" s="20" t="s">
        <v>608</v>
      </c>
      <c r="B20" s="10" t="n">
        <v>4</v>
      </c>
      <c r="C20" s="10" t="n">
        <v>4</v>
      </c>
      <c r="D20" s="10" t="n">
        <v>0</v>
      </c>
      <c r="E20" s="10" t="n">
        <v>0</v>
      </c>
      <c r="F20" s="21" t="n">
        <f aca="false">IF(B20=0,"-",E20/B20)</f>
        <v>0</v>
      </c>
    </row>
    <row r="21" customFormat="false" ht="15" hidden="false" customHeight="false" outlineLevel="0" collapsed="false">
      <c r="A21" s="22" t="s">
        <v>609</v>
      </c>
      <c r="B21" s="8" t="n">
        <v>4</v>
      </c>
      <c r="C21" s="8" t="n">
        <v>4</v>
      </c>
      <c r="D21" s="8" t="n">
        <v>0</v>
      </c>
      <c r="E21" s="8" t="n">
        <v>0</v>
      </c>
      <c r="F21" s="23" t="n">
        <f aca="false">IF(B21=0,"-",E21/B21)</f>
        <v>0</v>
      </c>
    </row>
    <row r="22" customFormat="false" ht="15" hidden="false" customHeight="false" outlineLevel="0" collapsed="false">
      <c r="A22" s="14" t="s">
        <v>107</v>
      </c>
      <c r="B22" s="14" t="n">
        <f aca="false">SUM(B4:B21)</f>
        <v>79</v>
      </c>
      <c r="C22" s="14" t="n">
        <f aca="false">SUM(C4:C21)</f>
        <v>79</v>
      </c>
      <c r="D22" s="14" t="n">
        <f aca="false">SUM(D4:D21)</f>
        <v>0</v>
      </c>
      <c r="E22" s="14" t="n">
        <f aca="false">SUM(E4:E21)</f>
        <v>0</v>
      </c>
      <c r="F22" s="24" t="n">
        <f aca="false">IF(B22=0,"-",E22/B22)</f>
        <v>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4" min="3" style="0" width="40"/>
  </cols>
  <sheetData>
    <row r="1" customFormat="false" ht="17.35" hidden="false" customHeight="false" outlineLevel="0" collapsed="false">
      <c r="A1" s="15" t="s">
        <v>610</v>
      </c>
      <c r="B1" s="15"/>
      <c r="C1" s="15"/>
      <c r="D1" s="15"/>
    </row>
    <row r="3" customFormat="false" ht="15" hidden="false" customHeight="false" outlineLevel="0" collapsed="false">
      <c r="A3" s="7" t="s">
        <v>611</v>
      </c>
      <c r="B3" s="7" t="s">
        <v>612</v>
      </c>
      <c r="C3" s="7" t="s">
        <v>613</v>
      </c>
      <c r="D3" s="7" t="s">
        <v>614</v>
      </c>
    </row>
    <row r="4" customFormat="false" ht="15" hidden="false" customHeight="false" outlineLevel="0" collapsed="false">
      <c r="A4" s="11" t="s">
        <v>615</v>
      </c>
      <c r="B4" s="11" t="s">
        <v>616</v>
      </c>
      <c r="C4" s="11" t="s">
        <v>617</v>
      </c>
      <c r="D4" s="11" t="s">
        <v>618</v>
      </c>
    </row>
    <row r="5" customFormat="false" ht="15" hidden="false" customHeight="false" outlineLevel="0" collapsed="false">
      <c r="A5" s="9" t="s">
        <v>619</v>
      </c>
      <c r="B5" s="9" t="s">
        <v>620</v>
      </c>
      <c r="C5" s="9" t="s">
        <v>621</v>
      </c>
      <c r="D5" s="9" t="s">
        <v>622</v>
      </c>
    </row>
    <row r="6" customFormat="false" ht="15" hidden="false" customHeight="false" outlineLevel="0" collapsed="false">
      <c r="A6" s="11" t="s">
        <v>623</v>
      </c>
      <c r="B6" s="11" t="s">
        <v>624</v>
      </c>
      <c r="C6" s="11" t="s">
        <v>625</v>
      </c>
      <c r="D6" s="11" t="s">
        <v>626</v>
      </c>
    </row>
    <row r="7" customFormat="false" ht="15" hidden="false" customHeight="false" outlineLevel="0" collapsed="false">
      <c r="A7" s="9" t="s">
        <v>627</v>
      </c>
      <c r="B7" s="9" t="s">
        <v>628</v>
      </c>
      <c r="C7" s="9" t="s">
        <v>629</v>
      </c>
      <c r="D7" s="9" t="s">
        <v>630</v>
      </c>
    </row>
    <row r="8" customFormat="false" ht="15" hidden="false" customHeight="false" outlineLevel="0" collapsed="false">
      <c r="A8" s="11" t="s">
        <v>631</v>
      </c>
      <c r="B8" s="11" t="s">
        <v>632</v>
      </c>
      <c r="C8" s="11" t="s">
        <v>633</v>
      </c>
      <c r="D8" s="11" t="s">
        <v>634</v>
      </c>
    </row>
    <row r="9" customFormat="false" ht="15" hidden="false" customHeight="false" outlineLevel="0" collapsed="false">
      <c r="A9" s="9" t="s">
        <v>635</v>
      </c>
      <c r="B9" s="9" t="s">
        <v>636</v>
      </c>
      <c r="C9" s="9" t="s">
        <v>637</v>
      </c>
      <c r="D9" s="9" t="s">
        <v>638</v>
      </c>
    </row>
    <row r="10" customFormat="false" ht="15" hidden="false" customHeight="false" outlineLevel="0" collapsed="false">
      <c r="A10" s="11" t="s">
        <v>639</v>
      </c>
      <c r="B10" s="11" t="s">
        <v>640</v>
      </c>
      <c r="C10" s="11" t="s">
        <v>641</v>
      </c>
      <c r="D10" s="11" t="s">
        <v>642</v>
      </c>
    </row>
    <row r="11" customFormat="false" ht="15" hidden="false" customHeight="false" outlineLevel="0" collapsed="false">
      <c r="A11" s="9" t="s">
        <v>643</v>
      </c>
      <c r="B11" s="9" t="s">
        <v>644</v>
      </c>
      <c r="C11" s="9" t="s">
        <v>645</v>
      </c>
      <c r="D11" s="9" t="s">
        <v>646</v>
      </c>
    </row>
    <row r="12" customFormat="false" ht="15" hidden="false" customHeight="false" outlineLevel="0" collapsed="false">
      <c r="A12" s="11" t="s">
        <v>647</v>
      </c>
      <c r="B12" s="11" t="s">
        <v>648</v>
      </c>
      <c r="C12" s="11" t="s">
        <v>649</v>
      </c>
      <c r="D12" s="11" t="s">
        <v>650</v>
      </c>
    </row>
    <row r="13" customFormat="false" ht="15" hidden="false" customHeight="false" outlineLevel="0" collapsed="false">
      <c r="A13" s="9" t="s">
        <v>651</v>
      </c>
      <c r="B13" s="9" t="s">
        <v>652</v>
      </c>
      <c r="C13" s="9" t="s">
        <v>653</v>
      </c>
      <c r="D13" s="9" t="s">
        <v>654</v>
      </c>
    </row>
    <row r="14" customFormat="false" ht="15" hidden="false" customHeight="false" outlineLevel="0" collapsed="false">
      <c r="A14" s="11" t="s">
        <v>655</v>
      </c>
      <c r="B14" s="11" t="s">
        <v>656</v>
      </c>
      <c r="C14" s="11" t="s">
        <v>493</v>
      </c>
      <c r="D14" s="11" t="s">
        <v>657</v>
      </c>
    </row>
    <row r="15" customFormat="false" ht="15" hidden="false" customHeight="false" outlineLevel="0" collapsed="false">
      <c r="A15" s="9" t="s">
        <v>658</v>
      </c>
      <c r="B15" s="9" t="s">
        <v>659</v>
      </c>
      <c r="C15" s="9" t="s">
        <v>660</v>
      </c>
      <c r="D15" s="9" t="s">
        <v>661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2026-02-25T22:50:24Z</dcterms:created>
  <dc:creator>openpyxl</dc:creator>
  <dc:description/>
  <dc:language>en-US</dc:language>
  <cp:lastModifiedBy/>
  <dcterms:modified xsi:type="dcterms:W3CDTF">2026-02-25T22:50:24Z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