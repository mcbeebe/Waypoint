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ikebeebe/Downloads/WayPoint/"/>
    </mc:Choice>
  </mc:AlternateContent>
  <xr:revisionPtr revIDLastSave="0" documentId="8_{D30B7489-242B-9F44-AC57-C4F5B5A8C5D3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Project Plan" sheetId="1" r:id="rId1"/>
    <sheet name="Sprint Dashboard" sheetId="2" r:id="rId2"/>
    <sheet name="Version Control" sheetId="3" r:id="rId3"/>
    <sheet name="Risk Register" sheetId="4" r:id="rId4"/>
    <sheet name="Prompt Library" sheetId="5" r:id="rId5"/>
    <sheet name="Cost Tracker" sheetId="6" r:id="rId6"/>
  </sheets>
  <definedNames>
    <definedName name="_xlnm._FilterDatabase" localSheetId="0" hidden="1">'Project Plan'!$A$4:$K$4</definedName>
    <definedName name="_xlnm._FilterDatabase" localSheetId="4" hidden="1">'Prompt Library'!$A$4:$F$4</definedName>
    <definedName name="_xlnm._FilterDatabase" localSheetId="2" hidden="1">'Version Control'!$A$4:$H$4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6" l="1"/>
  <c r="D9" i="2"/>
  <c r="C9" i="2"/>
  <c r="G59" i="1"/>
</calcChain>
</file>

<file path=xl/sharedStrings.xml><?xml version="1.0" encoding="utf-8"?>
<sst xmlns="http://schemas.openxmlformats.org/spreadsheetml/2006/main" count="705" uniqueCount="368">
  <si>
    <t>WAYPOINT AI ENGINE — IT PROJECT PLAN</t>
  </si>
  <si>
    <t>Build Environment: Claude Cowork  |  Owner: Mike  |  Start: March 3, 2026  |  Target MVP: April 4, 2026</t>
  </si>
  <si>
    <t>#</t>
  </si>
  <si>
    <t>Task</t>
  </si>
  <si>
    <t>Phase</t>
  </si>
  <si>
    <t>Priority</t>
  </si>
  <si>
    <t>Status</t>
  </si>
  <si>
    <t>Owner</t>
  </si>
  <si>
    <t>Est. Hours</t>
  </si>
  <si>
    <t>Start</t>
  </si>
  <si>
    <t>Due</t>
  </si>
  <si>
    <t>Dependencies</t>
  </si>
  <si>
    <t>Notes / Version History</t>
  </si>
  <si>
    <t>WEEK 1: KNOWLEDGE BASE &amp; DATA LAYER</t>
  </si>
  <si>
    <t>Set up Supabase project + enable pgvector extension</t>
  </si>
  <si>
    <t>Week 1</t>
  </si>
  <si>
    <t>P0 - Critical</t>
  </si>
  <si>
    <t>Not Started</t>
  </si>
  <si>
    <t>Mike</t>
  </si>
  <si>
    <t>Create project, enable extensions, configure RLS</t>
  </si>
  <si>
    <t>Create knowledge_chunks table + similarity search function</t>
  </si>
  <si>
    <t>Task 1</t>
  </si>
  <si>
    <t>Schema from Build Plan §5</t>
  </si>
  <si>
    <t>Create child_profiles table</t>
  </si>
  <si>
    <t>Include diagnosis[], regional_center, school_district</t>
  </si>
  <si>
    <t>Create ai_interactions logging table</t>
  </si>
  <si>
    <t>P1 - High</t>
  </si>
  <si>
    <t>For analytics and prompt tuning</t>
  </si>
  <si>
    <t>Write KB docs: Regional Center (5 docs)</t>
  </si>
  <si>
    <t>Lanterman Act, intake, POS, IPP, fair hearing</t>
  </si>
  <si>
    <t>Write KB docs: IEP / School Services (5 docs)</t>
  </si>
  <si>
    <t>IDEA safeguards, CA Ed Code, SB 483, disputes</t>
  </si>
  <si>
    <t>Write KB docs: Benefits &amp; Funding (5 docs)</t>
  </si>
  <si>
    <t>SSI, IHSS, Medi-Cal, funding waterfall, ABLE</t>
  </si>
  <si>
    <t>Build Python ingestion script (chunk + embed + store)</t>
  </si>
  <si>
    <t>Tasks 2, 5</t>
  </si>
  <si>
    <t>OpenAI text-embedding-3-small, 800-token chunks</t>
  </si>
  <si>
    <t>Run initial ingestion for RC + IEP knowledge bases</t>
  </si>
  <si>
    <t>Tasks 5, 6, 8</t>
  </si>
  <si>
    <t>Verify vector search returns relevant results</t>
  </si>
  <si>
    <t>Test similarity search with 10 sample questions</t>
  </si>
  <si>
    <t>Task 9</t>
  </si>
  <si>
    <t>Document precision/recall for each category</t>
  </si>
  <si>
    <t>WEEK 2: CLASSIFICATION &amp; RAG PIPELINE</t>
  </si>
  <si>
    <t>Build classification prompt (Claude Haiku)</t>
  </si>
  <si>
    <t>Week 2</t>
  </si>
  <si>
    <t>7 categories + urgency + emotional state detection</t>
  </si>
  <si>
    <t>Test classification against 30+ real parent questions</t>
  </si>
  <si>
    <t>Task 11</t>
  </si>
  <si>
    <t>Target &gt;90% accuracy; document misclassifications</t>
  </si>
  <si>
    <t>Write category-specific system prompts (7 categories)</t>
  </si>
  <si>
    <t>RC, IEP, Benefits, Insurance, Rights, Nav, Transitions</t>
  </si>
  <si>
    <t>Build ai-navigator Edge Function (full pipeline)</t>
  </si>
  <si>
    <t>Tasks 2, 11, 13</t>
  </si>
  <si>
    <t>Classify → Embed → Retrieve → Generate → Log</t>
  </si>
  <si>
    <t>Add child profile context injection to prompts</t>
  </si>
  <si>
    <t>Tasks 3, 14</t>
  </si>
  <si>
    <t>Personalize with RC, district, diagnosis, benefits</t>
  </si>
  <si>
    <t>Build structured JSON response parser</t>
  </si>
  <si>
    <t>Task 14</t>
  </si>
  <si>
    <t>Validate empathy, answer, action_steps, rights fields</t>
  </si>
  <si>
    <t>End-to-end test: 20 questions through full pipeline</t>
  </si>
  <si>
    <t>Test all 7 categories, verify context retrieval</t>
  </si>
  <si>
    <t>Tune prompts based on test results</t>
  </si>
  <si>
    <t>Task 17</t>
  </si>
  <si>
    <t>Iterate on misclassifications and weak responses</t>
  </si>
  <si>
    <t>WEEK 3: FRONTEND INTEGRATION</t>
  </si>
  <si>
    <t>Build useAINavigator React hook</t>
  </si>
  <si>
    <t>Week 3</t>
  </si>
  <si>
    <t>Loading state, error handling, response typing</t>
  </si>
  <si>
    <t>Build EmpathyBanner component</t>
  </si>
  <si>
    <t>P2 - Medium</t>
  </si>
  <si>
    <t>Teal card, warm tone, brief validation text</t>
  </si>
  <si>
    <t>Build ActionStepCard component</t>
  </si>
  <si>
    <t>Numbered steps, who/when/script, expandable</t>
  </si>
  <si>
    <t>Build RightsCallout component</t>
  </si>
  <si>
    <t>Highlighted sidebar with legal citation</t>
  </si>
  <si>
    <t>Build WarningBadge component</t>
  </si>
  <si>
    <t>Orange alert for common pitfalls</t>
  </si>
  <si>
    <t>Build DraftButton component (CTA for agent actions)</t>
  </si>
  <si>
    <t>'Draft Appeal Letter', 'Draft Email' etc.</t>
  </si>
  <si>
    <t>Integrate Navigator chat screen with Edge Function</t>
  </si>
  <si>
    <t>Tasks 19-24</t>
  </si>
  <si>
    <t>Full chat flow: question → loading → response cards</t>
  </si>
  <si>
    <t>Add feedback buttons (thumbs up/down) + logging</t>
  </si>
  <si>
    <t>Task 25</t>
  </si>
  <si>
    <t>Write to ai_interactions.feedback column</t>
  </si>
  <si>
    <t>Build conversation history (multi-turn)</t>
  </si>
  <si>
    <t>Maintain context across follow-up questions</t>
  </si>
  <si>
    <t>UI polish + loading states + error handling</t>
  </si>
  <si>
    <t>Skeleton loaders, retry logic, offline handling</t>
  </si>
  <si>
    <t>WEEK 4: AI AGENT LAYER (DRAFT &amp; EXECUTE)</t>
  </si>
  <si>
    <t>Build ai-draft Edge Function</t>
  </si>
  <si>
    <t>Week 4</t>
  </si>
  <si>
    <t>Generic draft generator with type-specific prompts</t>
  </si>
  <si>
    <t>Write draft prompt: appeal_letter</t>
  </si>
  <si>
    <t>Insurance denial → appeal with medical necessity</t>
  </si>
  <si>
    <t>Write draft prompt: iep_email</t>
  </si>
  <si>
    <t>Email to school district re: evaluation/meeting</t>
  </si>
  <si>
    <t>Write draft prompt: rc_reimbursement</t>
  </si>
  <si>
    <t>RCEB reimbursement request with receipts</t>
  </si>
  <si>
    <t>Write draft prompt: iep_prep</t>
  </si>
  <si>
    <t>Meeting agenda, questions, rights, goals</t>
  </si>
  <si>
    <t>Write draft prompt: fair_hearing</t>
  </si>
  <si>
    <t>Request letter with legal citations</t>
  </si>
  <si>
    <t>Write draft prompt: medical_necessity</t>
  </si>
  <si>
    <t>Template for therapist to complete</t>
  </si>
  <si>
    <t>Build ReviewDraft screen (edit + approve flow)</t>
  </si>
  <si>
    <t>Task 29</t>
  </si>
  <si>
    <t>Editable text, Send/Download PDF buttons</t>
  </si>
  <si>
    <t>Integrate 'Open in Mail' for email drafts</t>
  </si>
  <si>
    <t>Task 36</t>
  </si>
  <si>
    <t>Pre-fill to/subject/body in native mail client</t>
  </si>
  <si>
    <t>Build document vault save for non-email drafts</t>
  </si>
  <si>
    <t>Save appeal letters, IEP prep docs to vault</t>
  </si>
  <si>
    <t>WEEK 5: POLISH, EXPAND &amp; LAUNCH PREP</t>
  </si>
  <si>
    <t>Write KB docs: Insurance (3 docs)</t>
  </si>
  <si>
    <t>Week 5</t>
  </si>
  <si>
    <t>Appeal process, medical necessity, EOB analysis</t>
  </si>
  <si>
    <t>Write KB docs: Rights &amp; Advocacy (3 docs)</t>
  </si>
  <si>
    <t>Fair hearings, complaints, SB 483</t>
  </si>
  <si>
    <t>Write KB docs: Navigation + Transitions (4 docs)</t>
  </si>
  <si>
    <t>Provider finding, waitlists, age 3 transition, aging out</t>
  </si>
  <si>
    <t>Run ingestion for all new KB docs</t>
  </si>
  <si>
    <t>Tasks 39-41</t>
  </si>
  <si>
    <t>Re-run ingest script, verify search quality</t>
  </si>
  <si>
    <t>Prompt tuning: refine all 7 category prompts</t>
  </si>
  <si>
    <t>Based on feedback logs and test results</t>
  </si>
  <si>
    <t>Build basic analytics dashboard (interactions log)</t>
  </si>
  <si>
    <t>Task 4</t>
  </si>
  <si>
    <t>Category distribution, feedback rates, top questions</t>
  </si>
  <si>
    <t>Security review: RLS policies on all tables</t>
  </si>
  <si>
    <t>Users can only access own profiles and interactions</t>
  </si>
  <si>
    <t>Performance optimization: edge function cold starts</t>
  </si>
  <si>
    <t>Warm-up, caching, response time targets &lt;3s</t>
  </si>
  <si>
    <t>End-to-end QA: 50 questions across all categories</t>
  </si>
  <si>
    <t>All</t>
  </si>
  <si>
    <t>Full regression, all categories, all draft types</t>
  </si>
  <si>
    <t>Write README + internal documentation</t>
  </si>
  <si>
    <t>Setup guide, architecture docs, prompt library</t>
  </si>
  <si>
    <t>TOTAL ESTIMATED HOURS</t>
  </si>
  <si>
    <t>SPRINT DASHBOARD — WEEKLY PROGRESS</t>
  </si>
  <si>
    <t>Week</t>
  </si>
  <si>
    <t>Sprint Theme</t>
  </si>
  <si>
    <t>Tasks</t>
  </si>
  <si>
    <t>Hours</t>
  </si>
  <si>
    <t>P0 Tasks</t>
  </si>
  <si>
    <t>Completion %</t>
  </si>
  <si>
    <t>Knowledge Base &amp; Data Layer</t>
  </si>
  <si>
    <t>Tasks 1-10</t>
  </si>
  <si>
    <t>0%</t>
  </si>
  <si>
    <t>Classification &amp; RAG Pipeline</t>
  </si>
  <si>
    <t>Tasks 11-18</t>
  </si>
  <si>
    <t>Frontend Integration</t>
  </si>
  <si>
    <t>Tasks 19-28</t>
  </si>
  <si>
    <t>AI Agent Layer (Draft &amp; Execute)</t>
  </si>
  <si>
    <t>Tasks 29-38</t>
  </si>
  <si>
    <t>Polish, Expand &amp; Launch Prep</t>
  </si>
  <si>
    <t>Tasks 39-48</t>
  </si>
  <si>
    <t>TOTAL</t>
  </si>
  <si>
    <t>KEY METRICS</t>
  </si>
  <si>
    <t>Metric</t>
  </si>
  <si>
    <t>Target / Current</t>
  </si>
  <si>
    <t>Notes</t>
  </si>
  <si>
    <t>Classification Accuracy Target</t>
  </si>
  <si>
    <t>&gt;90%</t>
  </si>
  <si>
    <t>Test with 30+ real questions per sprint</t>
  </si>
  <si>
    <t>Response Quality Score</t>
  </si>
  <si>
    <t>TBD</t>
  </si>
  <si>
    <t>Human review of AI responses (1-5 scale)</t>
  </si>
  <si>
    <t>Avg. Response Time</t>
  </si>
  <si>
    <t>&lt;3 seconds</t>
  </si>
  <si>
    <t>Edge function classify → generate → return</t>
  </si>
  <si>
    <t>Knowledge Base Coverage</t>
  </si>
  <si>
    <t>0 / 7 categories</t>
  </si>
  <si>
    <t>Track docs written per category</t>
  </si>
  <si>
    <t>Draft Generation Success Rate</t>
  </si>
  <si>
    <t>% of drafts approved without major edits</t>
  </si>
  <si>
    <t>User Feedback (Thumbs Up Rate)</t>
  </si>
  <si>
    <t>From in-app feedback buttons</t>
  </si>
  <si>
    <t>VERSION CONTROL LOG</t>
  </si>
  <si>
    <t>Track all changes to code, prompts, knowledge base, and configuration. One entry per meaningful change.</t>
  </si>
  <si>
    <t>Version</t>
  </si>
  <si>
    <t>Date</t>
  </si>
  <si>
    <t>Component</t>
  </si>
  <si>
    <t>Change Type</t>
  </si>
  <si>
    <t>Description</t>
  </si>
  <si>
    <t>Changed By</t>
  </si>
  <si>
    <t>Tested</t>
  </si>
  <si>
    <t>0.1.0</t>
  </si>
  <si>
    <t>03/03/26</t>
  </si>
  <si>
    <t>Database</t>
  </si>
  <si>
    <t>Initial</t>
  </si>
  <si>
    <t>Create Supabase project, pgvector, base schema</t>
  </si>
  <si>
    <t>No</t>
  </si>
  <si>
    <t>knowledge_chunks, child_profiles, ai_interactions</t>
  </si>
  <si>
    <t>0.1.1</t>
  </si>
  <si>
    <t>Knowledge Base</t>
  </si>
  <si>
    <t>Regional Center KB docs v1 (5 docs)</t>
  </si>
  <si>
    <t>Lanterman, intake, POS, IPP, fair hearing</t>
  </si>
  <si>
    <t>0.1.2</t>
  </si>
  <si>
    <t>03/04/26</t>
  </si>
  <si>
    <t>IEP KB docs v1 (5 docs)</t>
  </si>
  <si>
    <t>IDEA, CA Ed Code, SB 483, meetings, disputes</t>
  </si>
  <si>
    <t>0.1.3</t>
  </si>
  <si>
    <t>03/05/26</t>
  </si>
  <si>
    <t>Ingestion</t>
  </si>
  <si>
    <t>Python ingestion script + initial data load</t>
  </si>
  <si>
    <t>chunk_document + embed_and_store</t>
  </si>
  <si>
    <t>0.2.0</t>
  </si>
  <si>
    <t>03/10/26</t>
  </si>
  <si>
    <t>AI Engine</t>
  </si>
  <si>
    <t>Classification prompt v1 (Haiku)</t>
  </si>
  <si>
    <t>7 categories + urgency + emotional state</t>
  </si>
  <si>
    <t>0.2.1</t>
  </si>
  <si>
    <t>Category system prompts v1 (7 prompts)</t>
  </si>
  <si>
    <t>RC, IEP, Benefits, Insurance, Rights, Nav, Trans</t>
  </si>
  <si>
    <t>0.2.2</t>
  </si>
  <si>
    <t>03/11/26</t>
  </si>
  <si>
    <t>Edge Function</t>
  </si>
  <si>
    <t>ai-navigator Edge Function v1</t>
  </si>
  <si>
    <t>Full classify → retrieve → generate pipeline</t>
  </si>
  <si>
    <t>0.3.0</t>
  </si>
  <si>
    <t>03/17/26</t>
  </si>
  <si>
    <t>Frontend</t>
  </si>
  <si>
    <t>useAINavigator hook + Action Card components</t>
  </si>
  <si>
    <t>Hook + 5 card components</t>
  </si>
  <si>
    <t>0.3.1</t>
  </si>
  <si>
    <t>03/19/26</t>
  </si>
  <si>
    <t>Navigator chat screen integration</t>
  </si>
  <si>
    <t>Full chat flow wired to Edge Function</t>
  </si>
  <si>
    <t>0.4.0</t>
  </si>
  <si>
    <t>03/24/26</t>
  </si>
  <si>
    <t>ai-draft Edge Function + 6 draft prompts</t>
  </si>
  <si>
    <t>appeal, iep_email, rc_reimburse, iep_prep, hearing, med</t>
  </si>
  <si>
    <t>0.4.1</t>
  </si>
  <si>
    <t>03/25/26</t>
  </si>
  <si>
    <t>ReviewDraft screen + Open in Mail</t>
  </si>
  <si>
    <t>Edit, approve, send/download flow</t>
  </si>
  <si>
    <t>0.5.0</t>
  </si>
  <si>
    <t>03/31/26</t>
  </si>
  <si>
    <t>Expand</t>
  </si>
  <si>
    <t>Insurance, Rights, Navigation KB docs (10 docs)</t>
  </si>
  <si>
    <t>Complete all 7 category knowledge bases</t>
  </si>
  <si>
    <t>1.0.0</t>
  </si>
  <si>
    <t>04/04/26</t>
  </si>
  <si>
    <t>Release</t>
  </si>
  <si>
    <t>MVP</t>
  </si>
  <si>
    <t>AI Navigator MVP — all features complete</t>
  </si>
  <si>
    <t>Yes</t>
  </si>
  <si>
    <t>Full QA, 50-question regression, all draft types</t>
  </si>
  <si>
    <t>RISK REGISTER</t>
  </si>
  <si>
    <t>Risk</t>
  </si>
  <si>
    <t>Category</t>
  </si>
  <si>
    <t>Likelihood</t>
  </si>
  <si>
    <t>Impact</t>
  </si>
  <si>
    <t>Mitigation</t>
  </si>
  <si>
    <t>Classification accuracy below 90%</t>
  </si>
  <si>
    <t>AI Quality</t>
  </si>
  <si>
    <t>Medium</t>
  </si>
  <si>
    <t>High</t>
  </si>
  <si>
    <t>Iterative prompt tuning; add fallback 'general' category; human review loop for edge cases</t>
  </si>
  <si>
    <t>Open</t>
  </si>
  <si>
    <t>Knowledge base gaps cause incorrect guidance</t>
  </si>
  <si>
    <t>Content</t>
  </si>
  <si>
    <t>Start with RC + IEP (deepest expertise); flag low-confidence responses; cite sources in every response</t>
  </si>
  <si>
    <t>Hallucinated legal citations</t>
  </si>
  <si>
    <t>AI Safety</t>
  </si>
  <si>
    <t>Critical</t>
  </si>
  <si>
    <t>RAG-only responses (never generate citations from training data); validate against KB; add disclaimer</t>
  </si>
  <si>
    <t>Edge Function cold start latency &gt;5s</t>
  </si>
  <si>
    <t>Performance</t>
  </si>
  <si>
    <t>Warm-up scheduled invocations; optimize prompt length; cache embeddings; consider Haiku for simple questions</t>
  </si>
  <si>
    <t>OpenAI embedding API rate limits</t>
  </si>
  <si>
    <t>Infrastructure</t>
  </si>
  <si>
    <t>Low</t>
  </si>
  <si>
    <t>Batch ingestion during off-peak; cache embeddings; pre-compute for common questions</t>
  </si>
  <si>
    <t>Supabase pgvector performance at scale</t>
  </si>
  <si>
    <t>IVFFlat index with 100 lists; partition by category; monitor query times; consider Pinecone if needed</t>
  </si>
  <si>
    <t>Parents rely on AI for legal decisions</t>
  </si>
  <si>
    <t>Liability</t>
  </si>
  <si>
    <t>Every response includes 'consult an advocate' disclaimer; offer to connect to human navigators; log all interactions</t>
  </si>
  <si>
    <t>Scope creep delays MVP launch</t>
  </si>
  <si>
    <t>Project</t>
  </si>
  <si>
    <t>Strict P0-only for Weeks 1-3; defer P2/P3 to post-MVP; weekly sprint review against timeline</t>
  </si>
  <si>
    <t>Anthropic API cost exceeds budget</t>
  </si>
  <si>
    <t>Financial</t>
  </si>
  <si>
    <t>Use Haiku for classification (cheap); monitor per-query cost; set usage alerts; consider caching frequent responses</t>
  </si>
  <si>
    <t>OCR quality for IEP documents</t>
  </si>
  <si>
    <t>Technical</t>
  </si>
  <si>
    <t>Google Cloud Vision as primary; fallback to manual text input; structured upload form for key fields</t>
  </si>
  <si>
    <t>PROMPT LIBRARY — VERSION TRACKING</t>
  </si>
  <si>
    <t>Track every prompt version. Never overwrite — always create a new version entry.</t>
  </si>
  <si>
    <t>Prompt ID</t>
  </si>
  <si>
    <t>Last Updated</t>
  </si>
  <si>
    <t>Change Summary</t>
  </si>
  <si>
    <t>CLASSIFY-001</t>
  </si>
  <si>
    <t>Classification</t>
  </si>
  <si>
    <t>v1.0</t>
  </si>
  <si>
    <t>Draft</t>
  </si>
  <si>
    <t>Initial 7-category classifier with urgency + emotional state</t>
  </si>
  <si>
    <t>SYS-RC-001</t>
  </si>
  <si>
    <t>Regional Center</t>
  </si>
  <si>
    <t>Lanterman Act, intake, IPP, POS, fair hearing focus</t>
  </si>
  <si>
    <t>SYS-IEP-001</t>
  </si>
  <si>
    <t>IEP / School</t>
  </si>
  <si>
    <t>IDEA, FAPE, PWN, SB 483, dispute resolution focus</t>
  </si>
  <si>
    <t>SYS-BEN-001</t>
  </si>
  <si>
    <t>Benefits</t>
  </si>
  <si>
    <t>Funding waterfall, SSI, IHSS, Medi-Cal, ABLE</t>
  </si>
  <si>
    <t>SYS-INS-001</t>
  </si>
  <si>
    <t>Insurance</t>
  </si>
  <si>
    <t>Denials, appeals, medical necessity, EOB analysis</t>
  </si>
  <si>
    <t>SYS-RGT-001</t>
  </si>
  <si>
    <t>Rights</t>
  </si>
  <si>
    <t>Fair hearings, complaints, OCR, timelines</t>
  </si>
  <si>
    <t>SYS-NAV-001</t>
  </si>
  <si>
    <t>Navigation</t>
  </si>
  <si>
    <t>Provider finding, waitlists, general guidance</t>
  </si>
  <si>
    <t>SYS-TRN-001</t>
  </si>
  <si>
    <t>Transitions</t>
  </si>
  <si>
    <t>Early Start→IEP, school→adult, aging out</t>
  </si>
  <si>
    <t>DFT-APL-001</t>
  </si>
  <si>
    <t>Draft: Appeal</t>
  </si>
  <si>
    <t>Insurance appeal letter with medical necessity argument</t>
  </si>
  <si>
    <t>DFT-IEP-001</t>
  </si>
  <si>
    <t>Draft: IEP Email</t>
  </si>
  <si>
    <t>Email to school district requesting eval/meeting</t>
  </si>
  <si>
    <t>DFT-RMB-001</t>
  </si>
  <si>
    <t>Draft: Reimbursement</t>
  </si>
  <si>
    <t>RC reimbursement request with receipts/auth</t>
  </si>
  <si>
    <t>DFT-PRP-001</t>
  </si>
  <si>
    <t>Draft: IEP Prep</t>
  </si>
  <si>
    <t>DFT-FHR-001</t>
  </si>
  <si>
    <t>Draft: Fair Hearing</t>
  </si>
  <si>
    <t>Fair hearing request letter</t>
  </si>
  <si>
    <t>DFT-MED-001</t>
  </si>
  <si>
    <t>Draft: Med Necessity</t>
  </si>
  <si>
    <t>Therapist medical necessity template</t>
  </si>
  <si>
    <t>MONTHLY COST TRACKER</t>
  </si>
  <si>
    <t>Service</t>
  </si>
  <si>
    <t>Provider</t>
  </si>
  <si>
    <t>Monthly Est.</t>
  </si>
  <si>
    <t>Actual (Month 1)</t>
  </si>
  <si>
    <t>Actual (Month 2)</t>
  </si>
  <si>
    <t>Supabase Pro (Postgres + pgvector)</t>
  </si>
  <si>
    <t>Supabase</t>
  </si>
  <si>
    <t>Includes auth, edge functions, storage</t>
  </si>
  <si>
    <t>Anthropic API — Classification (Haiku)</t>
  </si>
  <si>
    <t>Anthropic</t>
  </si>
  <si>
    <t>~$0.001 per classification call</t>
  </si>
  <si>
    <t>Anthropic API — Generation (Sonnet)</t>
  </si>
  <si>
    <t>~$0.01-0.03 per full response</t>
  </si>
  <si>
    <t>Anthropic API — Draft Generation (Sonnet)</t>
  </si>
  <si>
    <t>~$0.02-0.05 per draft</t>
  </si>
  <si>
    <t>OpenAI Embeddings API</t>
  </si>
  <si>
    <t>OpenAI</t>
  </si>
  <si>
    <t>text-embedding-3-small, ingestion + queries</t>
  </si>
  <si>
    <t>Google Cloud Vision (OCR)</t>
  </si>
  <si>
    <t>Google</t>
  </si>
  <si>
    <t>IEP / document processing</t>
  </si>
  <si>
    <t>Expo / React Native (EAS Build)</t>
  </si>
  <si>
    <t>Expo</t>
  </si>
  <si>
    <t>Free tier for development</t>
  </si>
  <si>
    <t>Domain + DNS</t>
  </si>
  <si>
    <t>Cloudflare</t>
  </si>
  <si>
    <t>waypoint.app or similar</t>
  </si>
  <si>
    <t>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</si>
</sst>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\$#,##0"/>
  </numFmts>
  <fonts count="11" x14ac:knownFonts="1">
    <font>
      <sz val="11"/>
      <color theme="1"/>
      <name val="Calibri"/>
      <family val="2"/>
      <charset val="1"/>
    </font>
    <font>
      <b/>
      <sz val="16"/>
      <color rgb="FF0D9488"/>
      <name val="Arial"/>
      <family val="2"/>
    </font>
    <font>
      <sz val="10"/>
      <color rgb="FF64748B"/>
      <name val="Arial"/>
      <family val="2"/>
    </font>
    <font>
      <b/>
      <sz val="11"/>
      <color rgb="FFFFFFFF"/>
      <name val="Arial"/>
      <family val="2"/>
    </font>
    <font>
      <b/>
      <sz val="10"/>
      <color rgb="FF0F766E"/>
      <name val="Arial"/>
      <family val="2"/>
    </font>
    <font>
      <sz val="10"/>
      <color rgb="FF334155"/>
      <name val="Arial"/>
      <family val="2"/>
    </font>
    <font>
      <b/>
      <sz val="11"/>
      <color rgb="FF0F172A"/>
      <name val="Arial"/>
      <family val="2"/>
    </font>
    <font>
      <b/>
      <sz val="14"/>
      <color rgb="FF0D9488"/>
      <name val="Arial"/>
      <family val="2"/>
    </font>
    <font>
      <b/>
      <sz val="12"/>
      <color rgb="FF0F172A"/>
      <name val="Arial"/>
      <family val="2"/>
    </font>
    <font>
      <b/>
      <sz val="10"/>
      <color rgb="FF334155"/>
      <name val="Arial"/>
      <family val="2"/>
    </font>
    <font>
      <b/>
      <sz val="10"/>
      <color rgb="FF0D948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CCFBF1"/>
        <bgColor rgb="FFF1F5F9"/>
      </patternFill>
    </fill>
    <fill>
      <patternFill patternType="solid">
        <fgColor rgb="FFF1F5F9"/>
        <bgColor rgb="FFFEF2F2"/>
      </patternFill>
    </fill>
    <fill>
      <patternFill patternType="solid">
        <fgColor rgb="FFFEF2F2"/>
        <bgColor rgb="FFFFF7ED"/>
      </patternFill>
    </fill>
    <fill>
      <patternFill patternType="solid">
        <fgColor rgb="FFFFFFFF"/>
        <bgColor rgb="FFFEFCE8"/>
      </patternFill>
    </fill>
    <fill>
      <patternFill patternType="solid">
        <fgColor rgb="FFFFF7ED"/>
        <bgColor rgb="FFFEFCE8"/>
      </patternFill>
    </fill>
    <fill>
      <patternFill patternType="solid">
        <fgColor rgb="FFFEFCE8"/>
        <bgColor rgb="FFFFF7ED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6" borderId="1" xfId="0" applyFont="1" applyFill="1" applyBorder="1"/>
    <xf numFmtId="0" fontId="2" fillId="4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/>
    <xf numFmtId="0" fontId="6" fillId="0" borderId="2" xfId="0" applyFont="1" applyBorder="1"/>
    <xf numFmtId="0" fontId="4" fillId="3" borderId="1" xfId="0" applyFont="1" applyFill="1" applyBorder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164" fontId="5" fillId="6" borderId="1" xfId="0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/>
    <xf numFmtId="0" fontId="9" fillId="4" borderId="1" xfId="0" applyFont="1" applyFill="1" applyBorder="1"/>
    <xf numFmtId="0" fontId="10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/>
    <xf numFmtId="0" fontId="10" fillId="6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vertical="center" wrapText="1"/>
    </xf>
    <xf numFmtId="165" fontId="5" fillId="6" borderId="1" xfId="0" applyNumberFormat="1" applyFont="1" applyFill="1" applyBorder="1" applyAlignment="1">
      <alignment vertical="center" wrapText="1"/>
    </xf>
    <xf numFmtId="165" fontId="6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7C3AED"/>
      <rgbColor rgb="FFFEFCE8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1F5F9"/>
      <rgbColor rgb="FFFEF2F2"/>
      <rgbColor rgb="FFFFF7ED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97316"/>
      <rgbColor rgb="FF64748B"/>
      <rgbColor rgb="FF969696"/>
      <rgbColor rgb="FF003366"/>
      <rgbColor rgb="FF059669"/>
      <rgbColor rgb="FF0F172A"/>
      <rgbColor rgb="FF333300"/>
      <rgbColor rgb="FF99330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9488"/>
  </sheetPr>
  <dimension ref="A1:K59"/>
  <sheetViews>
    <sheetView tabSelected="1" zoomScaleNormal="100" workbookViewId="0">
      <pane ySplit="4" topLeftCell="A5" activePane="bottomLeft" state="frozen"/>
      <selection pane="bottomLeft" sqref="A1:K1"/>
    </sheetView>
  </sheetViews>
  <sheetFormatPr baseColWidth="10" defaultColWidth="8.6640625" defaultRowHeight="15" x14ac:dyDescent="0.2"/>
  <cols>
    <col min="1" max="1" width="6" customWidth="1"/>
    <col min="2" max="2" width="42" customWidth="1"/>
    <col min="3" max="6" width="14" customWidth="1"/>
    <col min="7" max="7" width="16" customWidth="1"/>
    <col min="8" max="8" width="12" customWidth="1"/>
    <col min="9" max="9" width="14" customWidth="1"/>
    <col min="10" max="10" width="18" customWidth="1"/>
    <col min="11" max="11" width="30" customWidth="1"/>
  </cols>
  <sheetData>
    <row r="1" spans="1:11" ht="36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1.75" customHeight="1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30" customHeight="1" x14ac:dyDescent="0.2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</row>
    <row r="5" spans="1:11" ht="25.5" customHeight="1" x14ac:dyDescent="0.2">
      <c r="A5" s="7" t="s">
        <v>13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31.5" customHeight="1" x14ac:dyDescent="0.2">
      <c r="A6" s="11">
        <v>1</v>
      </c>
      <c r="B6" s="11" t="s">
        <v>14</v>
      </c>
      <c r="C6" s="11" t="s">
        <v>15</v>
      </c>
      <c r="D6" s="12" t="s">
        <v>16</v>
      </c>
      <c r="E6" s="11" t="s">
        <v>17</v>
      </c>
      <c r="F6" s="11" t="s">
        <v>18</v>
      </c>
      <c r="G6" s="11">
        <v>2</v>
      </c>
      <c r="H6" s="13">
        <v>46084</v>
      </c>
      <c r="I6" s="13">
        <v>46084</v>
      </c>
      <c r="J6" s="11"/>
      <c r="K6" s="11" t="s">
        <v>19</v>
      </c>
    </row>
    <row r="7" spans="1:11" ht="31.5" customHeight="1" x14ac:dyDescent="0.2">
      <c r="A7" s="14">
        <v>2</v>
      </c>
      <c r="B7" s="14" t="s">
        <v>20</v>
      </c>
      <c r="C7" s="14" t="s">
        <v>15</v>
      </c>
      <c r="D7" s="12" t="s">
        <v>16</v>
      </c>
      <c r="E7" s="11" t="s">
        <v>17</v>
      </c>
      <c r="F7" s="14" t="s">
        <v>18</v>
      </c>
      <c r="G7" s="14">
        <v>3</v>
      </c>
      <c r="H7" s="15">
        <v>46084</v>
      </c>
      <c r="I7" s="15">
        <v>46085</v>
      </c>
      <c r="J7" s="14" t="s">
        <v>21</v>
      </c>
      <c r="K7" s="14" t="s">
        <v>22</v>
      </c>
    </row>
    <row r="8" spans="1:11" ht="31.5" customHeight="1" x14ac:dyDescent="0.2">
      <c r="A8" s="11">
        <v>3</v>
      </c>
      <c r="B8" s="11" t="s">
        <v>23</v>
      </c>
      <c r="C8" s="11" t="s">
        <v>15</v>
      </c>
      <c r="D8" s="12" t="s">
        <v>16</v>
      </c>
      <c r="E8" s="11" t="s">
        <v>17</v>
      </c>
      <c r="F8" s="11" t="s">
        <v>18</v>
      </c>
      <c r="G8" s="11">
        <v>2</v>
      </c>
      <c r="H8" s="13">
        <v>46084</v>
      </c>
      <c r="I8" s="13">
        <v>46085</v>
      </c>
      <c r="J8" s="11" t="s">
        <v>21</v>
      </c>
      <c r="K8" s="11" t="s">
        <v>24</v>
      </c>
    </row>
    <row r="9" spans="1:11" ht="31.5" customHeight="1" x14ac:dyDescent="0.2">
      <c r="A9" s="14">
        <v>4</v>
      </c>
      <c r="B9" s="14" t="s">
        <v>25</v>
      </c>
      <c r="C9" s="14" t="s">
        <v>15</v>
      </c>
      <c r="D9" s="16" t="s">
        <v>26</v>
      </c>
      <c r="E9" s="11" t="s">
        <v>17</v>
      </c>
      <c r="F9" s="14" t="s">
        <v>18</v>
      </c>
      <c r="G9" s="14">
        <v>1</v>
      </c>
      <c r="H9" s="15">
        <v>46085</v>
      </c>
      <c r="I9" s="15">
        <v>46085</v>
      </c>
      <c r="J9" s="14" t="s">
        <v>21</v>
      </c>
      <c r="K9" s="14" t="s">
        <v>27</v>
      </c>
    </row>
    <row r="10" spans="1:11" ht="31.5" customHeight="1" x14ac:dyDescent="0.2">
      <c r="A10" s="11">
        <v>5</v>
      </c>
      <c r="B10" s="11" t="s">
        <v>28</v>
      </c>
      <c r="C10" s="11" t="s">
        <v>15</v>
      </c>
      <c r="D10" s="12" t="s">
        <v>16</v>
      </c>
      <c r="E10" s="11" t="s">
        <v>17</v>
      </c>
      <c r="F10" s="11" t="s">
        <v>18</v>
      </c>
      <c r="G10" s="11">
        <v>8</v>
      </c>
      <c r="H10" s="13">
        <v>46084</v>
      </c>
      <c r="I10" s="13">
        <v>46086</v>
      </c>
      <c r="J10" s="11"/>
      <c r="K10" s="11" t="s">
        <v>29</v>
      </c>
    </row>
    <row r="11" spans="1:11" ht="31.5" customHeight="1" x14ac:dyDescent="0.2">
      <c r="A11" s="14">
        <v>6</v>
      </c>
      <c r="B11" s="14" t="s">
        <v>30</v>
      </c>
      <c r="C11" s="14" t="s">
        <v>15</v>
      </c>
      <c r="D11" s="12" t="s">
        <v>16</v>
      </c>
      <c r="E11" s="11" t="s">
        <v>17</v>
      </c>
      <c r="F11" s="14" t="s">
        <v>18</v>
      </c>
      <c r="G11" s="14">
        <v>8</v>
      </c>
      <c r="H11" s="15">
        <v>46085</v>
      </c>
      <c r="I11" s="15">
        <v>46087</v>
      </c>
      <c r="J11" s="14"/>
      <c r="K11" s="14" t="s">
        <v>31</v>
      </c>
    </row>
    <row r="12" spans="1:11" ht="31.5" customHeight="1" x14ac:dyDescent="0.2">
      <c r="A12" s="11">
        <v>7</v>
      </c>
      <c r="B12" s="11" t="s">
        <v>32</v>
      </c>
      <c r="C12" s="11" t="s">
        <v>15</v>
      </c>
      <c r="D12" s="16" t="s">
        <v>26</v>
      </c>
      <c r="E12" s="11" t="s">
        <v>17</v>
      </c>
      <c r="F12" s="11" t="s">
        <v>18</v>
      </c>
      <c r="G12" s="11">
        <v>6</v>
      </c>
      <c r="H12" s="13">
        <v>46086</v>
      </c>
      <c r="I12" s="13">
        <v>46088</v>
      </c>
      <c r="J12" s="11"/>
      <c r="K12" s="11" t="s">
        <v>33</v>
      </c>
    </row>
    <row r="13" spans="1:11" ht="31.5" customHeight="1" x14ac:dyDescent="0.2">
      <c r="A13" s="14">
        <v>8</v>
      </c>
      <c r="B13" s="14" t="s">
        <v>34</v>
      </c>
      <c r="C13" s="14" t="s">
        <v>15</v>
      </c>
      <c r="D13" s="12" t="s">
        <v>16</v>
      </c>
      <c r="E13" s="11" t="s">
        <v>17</v>
      </c>
      <c r="F13" s="14" t="s">
        <v>18</v>
      </c>
      <c r="G13" s="14">
        <v>4</v>
      </c>
      <c r="H13" s="15">
        <v>46086</v>
      </c>
      <c r="I13" s="15">
        <v>46087</v>
      </c>
      <c r="J13" s="14" t="s">
        <v>35</v>
      </c>
      <c r="K13" s="14" t="s">
        <v>36</v>
      </c>
    </row>
    <row r="14" spans="1:11" ht="31.5" customHeight="1" x14ac:dyDescent="0.2">
      <c r="A14" s="11">
        <v>9</v>
      </c>
      <c r="B14" s="11" t="s">
        <v>37</v>
      </c>
      <c r="C14" s="11" t="s">
        <v>15</v>
      </c>
      <c r="D14" s="12" t="s">
        <v>16</v>
      </c>
      <c r="E14" s="11" t="s">
        <v>17</v>
      </c>
      <c r="F14" s="11" t="s">
        <v>18</v>
      </c>
      <c r="G14" s="11">
        <v>2</v>
      </c>
      <c r="H14" s="13">
        <v>46087</v>
      </c>
      <c r="I14" s="13">
        <v>46087</v>
      </c>
      <c r="J14" s="11" t="s">
        <v>38</v>
      </c>
      <c r="K14" s="11" t="s">
        <v>39</v>
      </c>
    </row>
    <row r="15" spans="1:11" ht="31.5" customHeight="1" x14ac:dyDescent="0.2">
      <c r="A15" s="14">
        <v>10</v>
      </c>
      <c r="B15" s="14" t="s">
        <v>40</v>
      </c>
      <c r="C15" s="14" t="s">
        <v>15</v>
      </c>
      <c r="D15" s="16" t="s">
        <v>26</v>
      </c>
      <c r="E15" s="11" t="s">
        <v>17</v>
      </c>
      <c r="F15" s="14" t="s">
        <v>18</v>
      </c>
      <c r="G15" s="14">
        <v>2</v>
      </c>
      <c r="H15" s="15">
        <v>46087</v>
      </c>
      <c r="I15" s="15">
        <v>46088</v>
      </c>
      <c r="J15" s="14" t="s">
        <v>41</v>
      </c>
      <c r="K15" s="14" t="s">
        <v>42</v>
      </c>
    </row>
    <row r="16" spans="1:11" ht="25.5" customHeight="1" x14ac:dyDescent="0.2">
      <c r="A16" s="7" t="s">
        <v>43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31.5" customHeight="1" x14ac:dyDescent="0.2">
      <c r="A17" s="11">
        <v>11</v>
      </c>
      <c r="B17" s="11" t="s">
        <v>44</v>
      </c>
      <c r="C17" s="11" t="s">
        <v>45</v>
      </c>
      <c r="D17" s="12" t="s">
        <v>16</v>
      </c>
      <c r="E17" s="11" t="s">
        <v>17</v>
      </c>
      <c r="F17" s="11" t="s">
        <v>18</v>
      </c>
      <c r="G17" s="11">
        <v>3</v>
      </c>
      <c r="H17" s="13">
        <v>46089</v>
      </c>
      <c r="I17" s="13">
        <v>46089</v>
      </c>
      <c r="J17" s="11"/>
      <c r="K17" s="11" t="s">
        <v>46</v>
      </c>
    </row>
    <row r="18" spans="1:11" ht="31.5" customHeight="1" x14ac:dyDescent="0.2">
      <c r="A18" s="14">
        <v>12</v>
      </c>
      <c r="B18" s="14" t="s">
        <v>47</v>
      </c>
      <c r="C18" s="14" t="s">
        <v>45</v>
      </c>
      <c r="D18" s="12" t="s">
        <v>16</v>
      </c>
      <c r="E18" s="11" t="s">
        <v>17</v>
      </c>
      <c r="F18" s="14" t="s">
        <v>18</v>
      </c>
      <c r="G18" s="14">
        <v>4</v>
      </c>
      <c r="H18" s="15">
        <v>46089</v>
      </c>
      <c r="I18" s="15">
        <v>46090</v>
      </c>
      <c r="J18" s="14" t="s">
        <v>48</v>
      </c>
      <c r="K18" s="14" t="s">
        <v>49</v>
      </c>
    </row>
    <row r="19" spans="1:11" ht="31.5" customHeight="1" x14ac:dyDescent="0.2">
      <c r="A19" s="11">
        <v>13</v>
      </c>
      <c r="B19" s="11" t="s">
        <v>50</v>
      </c>
      <c r="C19" s="11" t="s">
        <v>45</v>
      </c>
      <c r="D19" s="12" t="s">
        <v>16</v>
      </c>
      <c r="E19" s="11" t="s">
        <v>17</v>
      </c>
      <c r="F19" s="11" t="s">
        <v>18</v>
      </c>
      <c r="G19" s="11">
        <v>8</v>
      </c>
      <c r="H19" s="13">
        <v>46089</v>
      </c>
      <c r="I19" s="13">
        <v>46091</v>
      </c>
      <c r="J19" s="11"/>
      <c r="K19" s="11" t="s">
        <v>51</v>
      </c>
    </row>
    <row r="20" spans="1:11" ht="31.5" customHeight="1" x14ac:dyDescent="0.2">
      <c r="A20" s="14">
        <v>14</v>
      </c>
      <c r="B20" s="14" t="s">
        <v>52</v>
      </c>
      <c r="C20" s="14" t="s">
        <v>45</v>
      </c>
      <c r="D20" s="12" t="s">
        <v>16</v>
      </c>
      <c r="E20" s="11" t="s">
        <v>17</v>
      </c>
      <c r="F20" s="14" t="s">
        <v>18</v>
      </c>
      <c r="G20" s="14">
        <v>6</v>
      </c>
      <c r="H20" s="15">
        <v>46090</v>
      </c>
      <c r="I20" s="15">
        <v>46092</v>
      </c>
      <c r="J20" s="14" t="s">
        <v>53</v>
      </c>
      <c r="K20" s="14" t="s">
        <v>54</v>
      </c>
    </row>
    <row r="21" spans="1:11" ht="31.5" customHeight="1" x14ac:dyDescent="0.2">
      <c r="A21" s="11">
        <v>15</v>
      </c>
      <c r="B21" s="11" t="s">
        <v>55</v>
      </c>
      <c r="C21" s="11" t="s">
        <v>45</v>
      </c>
      <c r="D21" s="16" t="s">
        <v>26</v>
      </c>
      <c r="E21" s="11" t="s">
        <v>17</v>
      </c>
      <c r="F21" s="11" t="s">
        <v>18</v>
      </c>
      <c r="G21" s="11">
        <v>3</v>
      </c>
      <c r="H21" s="13">
        <v>46091</v>
      </c>
      <c r="I21" s="13">
        <v>46092</v>
      </c>
      <c r="J21" s="11" t="s">
        <v>56</v>
      </c>
      <c r="K21" s="11" t="s">
        <v>57</v>
      </c>
    </row>
    <row r="22" spans="1:11" ht="31.5" customHeight="1" x14ac:dyDescent="0.2">
      <c r="A22" s="14">
        <v>16</v>
      </c>
      <c r="B22" s="14" t="s">
        <v>58</v>
      </c>
      <c r="C22" s="14" t="s">
        <v>45</v>
      </c>
      <c r="D22" s="16" t="s">
        <v>26</v>
      </c>
      <c r="E22" s="11" t="s">
        <v>17</v>
      </c>
      <c r="F22" s="14" t="s">
        <v>18</v>
      </c>
      <c r="G22" s="14">
        <v>2</v>
      </c>
      <c r="H22" s="15">
        <v>46091</v>
      </c>
      <c r="I22" s="15">
        <v>46092</v>
      </c>
      <c r="J22" s="14" t="s">
        <v>59</v>
      </c>
      <c r="K22" s="14" t="s">
        <v>60</v>
      </c>
    </row>
    <row r="23" spans="1:11" ht="31.5" customHeight="1" x14ac:dyDescent="0.2">
      <c r="A23" s="11">
        <v>17</v>
      </c>
      <c r="B23" s="11" t="s">
        <v>61</v>
      </c>
      <c r="C23" s="11" t="s">
        <v>45</v>
      </c>
      <c r="D23" s="12" t="s">
        <v>16</v>
      </c>
      <c r="E23" s="11" t="s">
        <v>17</v>
      </c>
      <c r="F23" s="11" t="s">
        <v>18</v>
      </c>
      <c r="G23" s="11">
        <v>4</v>
      </c>
      <c r="H23" s="13">
        <v>46092</v>
      </c>
      <c r="I23" s="13">
        <v>46093</v>
      </c>
      <c r="J23" s="11" t="s">
        <v>59</v>
      </c>
      <c r="K23" s="11" t="s">
        <v>62</v>
      </c>
    </row>
    <row r="24" spans="1:11" ht="31.5" customHeight="1" x14ac:dyDescent="0.2">
      <c r="A24" s="14">
        <v>18</v>
      </c>
      <c r="B24" s="14" t="s">
        <v>63</v>
      </c>
      <c r="C24" s="14" t="s">
        <v>45</v>
      </c>
      <c r="D24" s="16" t="s">
        <v>26</v>
      </c>
      <c r="E24" s="11" t="s">
        <v>17</v>
      </c>
      <c r="F24" s="14" t="s">
        <v>18</v>
      </c>
      <c r="G24" s="14">
        <v>3</v>
      </c>
      <c r="H24" s="15">
        <v>46093</v>
      </c>
      <c r="I24" s="15">
        <v>46093</v>
      </c>
      <c r="J24" s="14" t="s">
        <v>64</v>
      </c>
      <c r="K24" s="14" t="s">
        <v>65</v>
      </c>
    </row>
    <row r="25" spans="1:11" ht="25.5" customHeight="1" x14ac:dyDescent="0.2">
      <c r="A25" s="7" t="s">
        <v>66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31.5" customHeight="1" x14ac:dyDescent="0.2">
      <c r="A26" s="11">
        <v>19</v>
      </c>
      <c r="B26" s="11" t="s">
        <v>67</v>
      </c>
      <c r="C26" s="11" t="s">
        <v>68</v>
      </c>
      <c r="D26" s="12" t="s">
        <v>16</v>
      </c>
      <c r="E26" s="11" t="s">
        <v>17</v>
      </c>
      <c r="F26" s="11" t="s">
        <v>18</v>
      </c>
      <c r="G26" s="11">
        <v>3</v>
      </c>
      <c r="H26" s="13">
        <v>46094</v>
      </c>
      <c r="I26" s="13">
        <v>46094</v>
      </c>
      <c r="J26" s="11" t="s">
        <v>59</v>
      </c>
      <c r="K26" s="11" t="s">
        <v>69</v>
      </c>
    </row>
    <row r="27" spans="1:11" ht="31.5" customHeight="1" x14ac:dyDescent="0.2">
      <c r="A27" s="14">
        <v>20</v>
      </c>
      <c r="B27" s="14" t="s">
        <v>70</v>
      </c>
      <c r="C27" s="14" t="s">
        <v>68</v>
      </c>
      <c r="D27" s="17" t="s">
        <v>71</v>
      </c>
      <c r="E27" s="11" t="s">
        <v>17</v>
      </c>
      <c r="F27" s="14" t="s">
        <v>18</v>
      </c>
      <c r="G27" s="14">
        <v>1</v>
      </c>
      <c r="H27" s="15">
        <v>46094</v>
      </c>
      <c r="I27" s="15">
        <v>46094</v>
      </c>
      <c r="J27" s="14"/>
      <c r="K27" s="14" t="s">
        <v>72</v>
      </c>
    </row>
    <row r="28" spans="1:11" ht="31.5" customHeight="1" x14ac:dyDescent="0.2">
      <c r="A28" s="11">
        <v>21</v>
      </c>
      <c r="B28" s="11" t="s">
        <v>73</v>
      </c>
      <c r="C28" s="11" t="s">
        <v>68</v>
      </c>
      <c r="D28" s="12" t="s">
        <v>16</v>
      </c>
      <c r="E28" s="11" t="s">
        <v>17</v>
      </c>
      <c r="F28" s="11" t="s">
        <v>18</v>
      </c>
      <c r="G28" s="11">
        <v>4</v>
      </c>
      <c r="H28" s="13">
        <v>46094</v>
      </c>
      <c r="I28" s="13">
        <v>46095</v>
      </c>
      <c r="J28" s="11"/>
      <c r="K28" s="11" t="s">
        <v>74</v>
      </c>
    </row>
    <row r="29" spans="1:11" ht="31.5" customHeight="1" x14ac:dyDescent="0.2">
      <c r="A29" s="14">
        <v>22</v>
      </c>
      <c r="B29" s="14" t="s">
        <v>75</v>
      </c>
      <c r="C29" s="14" t="s">
        <v>68</v>
      </c>
      <c r="D29" s="16" t="s">
        <v>26</v>
      </c>
      <c r="E29" s="11" t="s">
        <v>17</v>
      </c>
      <c r="F29" s="14" t="s">
        <v>18</v>
      </c>
      <c r="G29" s="14">
        <v>2</v>
      </c>
      <c r="H29" s="15">
        <v>46095</v>
      </c>
      <c r="I29" s="15">
        <v>46095</v>
      </c>
      <c r="J29" s="14"/>
      <c r="K29" s="14" t="s">
        <v>76</v>
      </c>
    </row>
    <row r="30" spans="1:11" ht="31.5" customHeight="1" x14ac:dyDescent="0.2">
      <c r="A30" s="11">
        <v>23</v>
      </c>
      <c r="B30" s="11" t="s">
        <v>77</v>
      </c>
      <c r="C30" s="11" t="s">
        <v>68</v>
      </c>
      <c r="D30" s="17" t="s">
        <v>71</v>
      </c>
      <c r="E30" s="11" t="s">
        <v>17</v>
      </c>
      <c r="F30" s="11" t="s">
        <v>18</v>
      </c>
      <c r="G30" s="11">
        <v>1</v>
      </c>
      <c r="H30" s="13">
        <v>46095</v>
      </c>
      <c r="I30" s="13">
        <v>46095</v>
      </c>
      <c r="J30" s="11"/>
      <c r="K30" s="11" t="s">
        <v>78</v>
      </c>
    </row>
    <row r="31" spans="1:11" ht="31.5" customHeight="1" x14ac:dyDescent="0.2">
      <c r="A31" s="14">
        <v>24</v>
      </c>
      <c r="B31" s="14" t="s">
        <v>79</v>
      </c>
      <c r="C31" s="14" t="s">
        <v>68</v>
      </c>
      <c r="D31" s="12" t="s">
        <v>16</v>
      </c>
      <c r="E31" s="11" t="s">
        <v>17</v>
      </c>
      <c r="F31" s="14" t="s">
        <v>18</v>
      </c>
      <c r="G31" s="14">
        <v>2</v>
      </c>
      <c r="H31" s="15">
        <v>46095</v>
      </c>
      <c r="I31" s="15">
        <v>46096</v>
      </c>
      <c r="J31" s="14"/>
      <c r="K31" s="14" t="s">
        <v>80</v>
      </c>
    </row>
    <row r="32" spans="1:11" ht="31.5" customHeight="1" x14ac:dyDescent="0.2">
      <c r="A32" s="11">
        <v>25</v>
      </c>
      <c r="B32" s="11" t="s">
        <v>81</v>
      </c>
      <c r="C32" s="11" t="s">
        <v>68</v>
      </c>
      <c r="D32" s="12" t="s">
        <v>16</v>
      </c>
      <c r="E32" s="11" t="s">
        <v>17</v>
      </c>
      <c r="F32" s="11" t="s">
        <v>18</v>
      </c>
      <c r="G32" s="11">
        <v>4</v>
      </c>
      <c r="H32" s="13">
        <v>46096</v>
      </c>
      <c r="I32" s="13">
        <v>46097</v>
      </c>
      <c r="J32" s="11" t="s">
        <v>82</v>
      </c>
      <c r="K32" s="11" t="s">
        <v>83</v>
      </c>
    </row>
    <row r="33" spans="1:11" ht="31.5" customHeight="1" x14ac:dyDescent="0.2">
      <c r="A33" s="14">
        <v>26</v>
      </c>
      <c r="B33" s="14" t="s">
        <v>84</v>
      </c>
      <c r="C33" s="14" t="s">
        <v>68</v>
      </c>
      <c r="D33" s="16" t="s">
        <v>26</v>
      </c>
      <c r="E33" s="11" t="s">
        <v>17</v>
      </c>
      <c r="F33" s="14" t="s">
        <v>18</v>
      </c>
      <c r="G33" s="14">
        <v>2</v>
      </c>
      <c r="H33" s="15">
        <v>46096</v>
      </c>
      <c r="I33" s="15">
        <v>46097</v>
      </c>
      <c r="J33" s="14" t="s">
        <v>85</v>
      </c>
      <c r="K33" s="14" t="s">
        <v>86</v>
      </c>
    </row>
    <row r="34" spans="1:11" ht="31.5" customHeight="1" x14ac:dyDescent="0.2">
      <c r="A34" s="11">
        <v>27</v>
      </c>
      <c r="B34" s="11" t="s">
        <v>87</v>
      </c>
      <c r="C34" s="11" t="s">
        <v>68</v>
      </c>
      <c r="D34" s="16" t="s">
        <v>26</v>
      </c>
      <c r="E34" s="11" t="s">
        <v>17</v>
      </c>
      <c r="F34" s="11" t="s">
        <v>18</v>
      </c>
      <c r="G34" s="11">
        <v>3</v>
      </c>
      <c r="H34" s="13">
        <v>46097</v>
      </c>
      <c r="I34" s="13">
        <v>46098</v>
      </c>
      <c r="J34" s="11" t="s">
        <v>85</v>
      </c>
      <c r="K34" s="11" t="s">
        <v>88</v>
      </c>
    </row>
    <row r="35" spans="1:11" ht="31.5" customHeight="1" x14ac:dyDescent="0.2">
      <c r="A35" s="14">
        <v>28</v>
      </c>
      <c r="B35" s="14" t="s">
        <v>89</v>
      </c>
      <c r="C35" s="14" t="s">
        <v>68</v>
      </c>
      <c r="D35" s="17" t="s">
        <v>71</v>
      </c>
      <c r="E35" s="11" t="s">
        <v>17</v>
      </c>
      <c r="F35" s="14" t="s">
        <v>18</v>
      </c>
      <c r="G35" s="14">
        <v>3</v>
      </c>
      <c r="H35" s="15">
        <v>46097</v>
      </c>
      <c r="I35" s="15">
        <v>46098</v>
      </c>
      <c r="J35" s="14" t="s">
        <v>85</v>
      </c>
      <c r="K35" s="14" t="s">
        <v>90</v>
      </c>
    </row>
    <row r="36" spans="1:11" ht="25.5" customHeight="1" x14ac:dyDescent="0.2">
      <c r="A36" s="7" t="s">
        <v>91</v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31.5" customHeight="1" x14ac:dyDescent="0.2">
      <c r="A37" s="11">
        <v>29</v>
      </c>
      <c r="B37" s="11" t="s">
        <v>92</v>
      </c>
      <c r="C37" s="11" t="s">
        <v>93</v>
      </c>
      <c r="D37" s="12" t="s">
        <v>16</v>
      </c>
      <c r="E37" s="11" t="s">
        <v>17</v>
      </c>
      <c r="F37" s="11" t="s">
        <v>18</v>
      </c>
      <c r="G37" s="11">
        <v>5</v>
      </c>
      <c r="H37" s="13">
        <v>46099</v>
      </c>
      <c r="I37" s="13">
        <v>46100</v>
      </c>
      <c r="J37" s="11" t="s">
        <v>59</v>
      </c>
      <c r="K37" s="11" t="s">
        <v>94</v>
      </c>
    </row>
    <row r="38" spans="1:11" ht="31.5" customHeight="1" x14ac:dyDescent="0.2">
      <c r="A38" s="14">
        <v>30</v>
      </c>
      <c r="B38" s="14" t="s">
        <v>95</v>
      </c>
      <c r="C38" s="14" t="s">
        <v>93</v>
      </c>
      <c r="D38" s="12" t="s">
        <v>16</v>
      </c>
      <c r="E38" s="11" t="s">
        <v>17</v>
      </c>
      <c r="F38" s="14" t="s">
        <v>18</v>
      </c>
      <c r="G38" s="14">
        <v>3</v>
      </c>
      <c r="H38" s="15">
        <v>46099</v>
      </c>
      <c r="I38" s="15">
        <v>46100</v>
      </c>
      <c r="J38" s="14"/>
      <c r="K38" s="14" t="s">
        <v>96</v>
      </c>
    </row>
    <row r="39" spans="1:11" ht="31.5" customHeight="1" x14ac:dyDescent="0.2">
      <c r="A39" s="11">
        <v>31</v>
      </c>
      <c r="B39" s="11" t="s">
        <v>97</v>
      </c>
      <c r="C39" s="11" t="s">
        <v>93</v>
      </c>
      <c r="D39" s="12" t="s">
        <v>16</v>
      </c>
      <c r="E39" s="11" t="s">
        <v>17</v>
      </c>
      <c r="F39" s="11" t="s">
        <v>18</v>
      </c>
      <c r="G39" s="11">
        <v>3</v>
      </c>
      <c r="H39" s="13">
        <v>46100</v>
      </c>
      <c r="I39" s="13">
        <v>46101</v>
      </c>
      <c r="J39" s="11"/>
      <c r="K39" s="11" t="s">
        <v>98</v>
      </c>
    </row>
    <row r="40" spans="1:11" ht="31.5" customHeight="1" x14ac:dyDescent="0.2">
      <c r="A40" s="14">
        <v>32</v>
      </c>
      <c r="B40" s="14" t="s">
        <v>99</v>
      </c>
      <c r="C40" s="14" t="s">
        <v>93</v>
      </c>
      <c r="D40" s="16" t="s">
        <v>26</v>
      </c>
      <c r="E40" s="11" t="s">
        <v>17</v>
      </c>
      <c r="F40" s="14" t="s">
        <v>18</v>
      </c>
      <c r="G40" s="14">
        <v>3</v>
      </c>
      <c r="H40" s="15">
        <v>46100</v>
      </c>
      <c r="I40" s="15">
        <v>46101</v>
      </c>
      <c r="J40" s="14"/>
      <c r="K40" s="14" t="s">
        <v>100</v>
      </c>
    </row>
    <row r="41" spans="1:11" ht="31.5" customHeight="1" x14ac:dyDescent="0.2">
      <c r="A41" s="11">
        <v>33</v>
      </c>
      <c r="B41" s="11" t="s">
        <v>101</v>
      </c>
      <c r="C41" s="11" t="s">
        <v>93</v>
      </c>
      <c r="D41" s="16" t="s">
        <v>26</v>
      </c>
      <c r="E41" s="11" t="s">
        <v>17</v>
      </c>
      <c r="F41" s="11" t="s">
        <v>18</v>
      </c>
      <c r="G41" s="11">
        <v>3</v>
      </c>
      <c r="H41" s="13">
        <v>46101</v>
      </c>
      <c r="I41" s="13">
        <v>46101</v>
      </c>
      <c r="J41" s="11"/>
      <c r="K41" s="11" t="s">
        <v>102</v>
      </c>
    </row>
    <row r="42" spans="1:11" ht="31.5" customHeight="1" x14ac:dyDescent="0.2">
      <c r="A42" s="14">
        <v>34</v>
      </c>
      <c r="B42" s="14" t="s">
        <v>103</v>
      </c>
      <c r="C42" s="14" t="s">
        <v>93</v>
      </c>
      <c r="D42" s="17" t="s">
        <v>71</v>
      </c>
      <c r="E42" s="11" t="s">
        <v>17</v>
      </c>
      <c r="F42" s="14" t="s">
        <v>18</v>
      </c>
      <c r="G42" s="14">
        <v>2</v>
      </c>
      <c r="H42" s="15">
        <v>46101</v>
      </c>
      <c r="I42" s="15">
        <v>46102</v>
      </c>
      <c r="J42" s="14"/>
      <c r="K42" s="14" t="s">
        <v>104</v>
      </c>
    </row>
    <row r="43" spans="1:11" ht="31.5" customHeight="1" x14ac:dyDescent="0.2">
      <c r="A43" s="11">
        <v>35</v>
      </c>
      <c r="B43" s="11" t="s">
        <v>105</v>
      </c>
      <c r="C43" s="11" t="s">
        <v>93</v>
      </c>
      <c r="D43" s="17" t="s">
        <v>71</v>
      </c>
      <c r="E43" s="11" t="s">
        <v>17</v>
      </c>
      <c r="F43" s="11" t="s">
        <v>18</v>
      </c>
      <c r="G43" s="11">
        <v>2</v>
      </c>
      <c r="H43" s="13">
        <v>46101</v>
      </c>
      <c r="I43" s="13">
        <v>46102</v>
      </c>
      <c r="J43" s="11"/>
      <c r="K43" s="11" t="s">
        <v>106</v>
      </c>
    </row>
    <row r="44" spans="1:11" ht="31.5" customHeight="1" x14ac:dyDescent="0.2">
      <c r="A44" s="14">
        <v>36</v>
      </c>
      <c r="B44" s="14" t="s">
        <v>107</v>
      </c>
      <c r="C44" s="14" t="s">
        <v>93</v>
      </c>
      <c r="D44" s="12" t="s">
        <v>16</v>
      </c>
      <c r="E44" s="11" t="s">
        <v>17</v>
      </c>
      <c r="F44" s="14" t="s">
        <v>18</v>
      </c>
      <c r="G44" s="14">
        <v>5</v>
      </c>
      <c r="H44" s="15">
        <v>46100</v>
      </c>
      <c r="I44" s="15">
        <v>46102</v>
      </c>
      <c r="J44" s="14" t="s">
        <v>108</v>
      </c>
      <c r="K44" s="14" t="s">
        <v>109</v>
      </c>
    </row>
    <row r="45" spans="1:11" ht="31.5" customHeight="1" x14ac:dyDescent="0.2">
      <c r="A45" s="11">
        <v>37</v>
      </c>
      <c r="B45" s="11" t="s">
        <v>110</v>
      </c>
      <c r="C45" s="11" t="s">
        <v>93</v>
      </c>
      <c r="D45" s="16" t="s">
        <v>26</v>
      </c>
      <c r="E45" s="11" t="s">
        <v>17</v>
      </c>
      <c r="F45" s="11" t="s">
        <v>18</v>
      </c>
      <c r="G45" s="11">
        <v>2</v>
      </c>
      <c r="H45" s="13">
        <v>46102</v>
      </c>
      <c r="I45" s="13">
        <v>46102</v>
      </c>
      <c r="J45" s="11" t="s">
        <v>111</v>
      </c>
      <c r="K45" s="11" t="s">
        <v>112</v>
      </c>
    </row>
    <row r="46" spans="1:11" ht="31.5" customHeight="1" x14ac:dyDescent="0.2">
      <c r="A46" s="14">
        <v>38</v>
      </c>
      <c r="B46" s="14" t="s">
        <v>113</v>
      </c>
      <c r="C46" s="14" t="s">
        <v>93</v>
      </c>
      <c r="D46" s="16" t="s">
        <v>26</v>
      </c>
      <c r="E46" s="11" t="s">
        <v>17</v>
      </c>
      <c r="F46" s="14" t="s">
        <v>18</v>
      </c>
      <c r="G46" s="14">
        <v>3</v>
      </c>
      <c r="H46" s="15">
        <v>46102</v>
      </c>
      <c r="I46" s="15">
        <v>46103</v>
      </c>
      <c r="J46" s="14" t="s">
        <v>111</v>
      </c>
      <c r="K46" s="14" t="s">
        <v>114</v>
      </c>
    </row>
    <row r="47" spans="1:11" ht="25.5" customHeight="1" x14ac:dyDescent="0.2">
      <c r="A47" s="7" t="s">
        <v>115</v>
      </c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31.5" customHeight="1" x14ac:dyDescent="0.2">
      <c r="A48" s="11">
        <v>39</v>
      </c>
      <c r="B48" s="11" t="s">
        <v>116</v>
      </c>
      <c r="C48" s="11" t="s">
        <v>117</v>
      </c>
      <c r="D48" s="16" t="s">
        <v>26</v>
      </c>
      <c r="E48" s="11" t="s">
        <v>17</v>
      </c>
      <c r="F48" s="11" t="s">
        <v>18</v>
      </c>
      <c r="G48" s="11">
        <v>4</v>
      </c>
      <c r="H48" s="13">
        <v>46104</v>
      </c>
      <c r="I48" s="13">
        <v>46105</v>
      </c>
      <c r="J48" s="11"/>
      <c r="K48" s="11" t="s">
        <v>118</v>
      </c>
    </row>
    <row r="49" spans="1:11" ht="31.5" customHeight="1" x14ac:dyDescent="0.2">
      <c r="A49" s="14">
        <v>40</v>
      </c>
      <c r="B49" s="14" t="s">
        <v>119</v>
      </c>
      <c r="C49" s="14" t="s">
        <v>117</v>
      </c>
      <c r="D49" s="16" t="s">
        <v>26</v>
      </c>
      <c r="E49" s="11" t="s">
        <v>17</v>
      </c>
      <c r="F49" s="14" t="s">
        <v>18</v>
      </c>
      <c r="G49" s="14">
        <v>4</v>
      </c>
      <c r="H49" s="15">
        <v>46104</v>
      </c>
      <c r="I49" s="15">
        <v>46105</v>
      </c>
      <c r="J49" s="14"/>
      <c r="K49" s="14" t="s">
        <v>120</v>
      </c>
    </row>
    <row r="50" spans="1:11" ht="31.5" customHeight="1" x14ac:dyDescent="0.2">
      <c r="A50" s="11">
        <v>41</v>
      </c>
      <c r="B50" s="11" t="s">
        <v>121</v>
      </c>
      <c r="C50" s="11" t="s">
        <v>117</v>
      </c>
      <c r="D50" s="17" t="s">
        <v>71</v>
      </c>
      <c r="E50" s="11" t="s">
        <v>17</v>
      </c>
      <c r="F50" s="11" t="s">
        <v>18</v>
      </c>
      <c r="G50" s="11">
        <v>4</v>
      </c>
      <c r="H50" s="13">
        <v>46105</v>
      </c>
      <c r="I50" s="13">
        <v>46106</v>
      </c>
      <c r="J50" s="11"/>
      <c r="K50" s="11" t="s">
        <v>122</v>
      </c>
    </row>
    <row r="51" spans="1:11" ht="31.5" customHeight="1" x14ac:dyDescent="0.2">
      <c r="A51" s="14">
        <v>42</v>
      </c>
      <c r="B51" s="14" t="s">
        <v>123</v>
      </c>
      <c r="C51" s="14" t="s">
        <v>117</v>
      </c>
      <c r="D51" s="16" t="s">
        <v>26</v>
      </c>
      <c r="E51" s="11" t="s">
        <v>17</v>
      </c>
      <c r="F51" s="14" t="s">
        <v>18</v>
      </c>
      <c r="G51" s="14">
        <v>2</v>
      </c>
      <c r="H51" s="15">
        <v>46106</v>
      </c>
      <c r="I51" s="15">
        <v>46106</v>
      </c>
      <c r="J51" s="14" t="s">
        <v>124</v>
      </c>
      <c r="K51" s="14" t="s">
        <v>125</v>
      </c>
    </row>
    <row r="52" spans="1:11" ht="31.5" customHeight="1" x14ac:dyDescent="0.2">
      <c r="A52" s="11">
        <v>43</v>
      </c>
      <c r="B52" s="11" t="s">
        <v>126</v>
      </c>
      <c r="C52" s="11" t="s">
        <v>117</v>
      </c>
      <c r="D52" s="16" t="s">
        <v>26</v>
      </c>
      <c r="E52" s="11" t="s">
        <v>17</v>
      </c>
      <c r="F52" s="11" t="s">
        <v>18</v>
      </c>
      <c r="G52" s="11">
        <v>4</v>
      </c>
      <c r="H52" s="13">
        <v>46106</v>
      </c>
      <c r="I52" s="13">
        <v>46107</v>
      </c>
      <c r="J52" s="11" t="s">
        <v>64</v>
      </c>
      <c r="K52" s="11" t="s">
        <v>127</v>
      </c>
    </row>
    <row r="53" spans="1:11" ht="31.5" customHeight="1" x14ac:dyDescent="0.2">
      <c r="A53" s="14">
        <v>44</v>
      </c>
      <c r="B53" s="14" t="s">
        <v>128</v>
      </c>
      <c r="C53" s="14" t="s">
        <v>117</v>
      </c>
      <c r="D53" s="17" t="s">
        <v>71</v>
      </c>
      <c r="E53" s="11" t="s">
        <v>17</v>
      </c>
      <c r="F53" s="14" t="s">
        <v>18</v>
      </c>
      <c r="G53" s="14">
        <v>3</v>
      </c>
      <c r="H53" s="15">
        <v>46106</v>
      </c>
      <c r="I53" s="15">
        <v>46107</v>
      </c>
      <c r="J53" s="14" t="s">
        <v>129</v>
      </c>
      <c r="K53" s="14" t="s">
        <v>130</v>
      </c>
    </row>
    <row r="54" spans="1:11" ht="31.5" customHeight="1" x14ac:dyDescent="0.2">
      <c r="A54" s="11">
        <v>45</v>
      </c>
      <c r="B54" s="11" t="s">
        <v>131</v>
      </c>
      <c r="C54" s="11" t="s">
        <v>117</v>
      </c>
      <c r="D54" s="16" t="s">
        <v>26</v>
      </c>
      <c r="E54" s="11" t="s">
        <v>17</v>
      </c>
      <c r="F54" s="11" t="s">
        <v>18</v>
      </c>
      <c r="G54" s="11">
        <v>3</v>
      </c>
      <c r="H54" s="13">
        <v>46107</v>
      </c>
      <c r="I54" s="13">
        <v>46107</v>
      </c>
      <c r="J54" s="11"/>
      <c r="K54" s="11" t="s">
        <v>132</v>
      </c>
    </row>
    <row r="55" spans="1:11" ht="31.5" customHeight="1" x14ac:dyDescent="0.2">
      <c r="A55" s="14">
        <v>46</v>
      </c>
      <c r="B55" s="14" t="s">
        <v>133</v>
      </c>
      <c r="C55" s="14" t="s">
        <v>117</v>
      </c>
      <c r="D55" s="17" t="s">
        <v>71</v>
      </c>
      <c r="E55" s="11" t="s">
        <v>17</v>
      </c>
      <c r="F55" s="14" t="s">
        <v>18</v>
      </c>
      <c r="G55" s="14">
        <v>2</v>
      </c>
      <c r="H55" s="15">
        <v>46107</v>
      </c>
      <c r="I55" s="15">
        <v>46108</v>
      </c>
      <c r="J55" s="14"/>
      <c r="K55" s="14" t="s">
        <v>134</v>
      </c>
    </row>
    <row r="56" spans="1:11" ht="31.5" customHeight="1" x14ac:dyDescent="0.2">
      <c r="A56" s="11">
        <v>47</v>
      </c>
      <c r="B56" s="11" t="s">
        <v>135</v>
      </c>
      <c r="C56" s="11" t="s">
        <v>117</v>
      </c>
      <c r="D56" s="12" t="s">
        <v>16</v>
      </c>
      <c r="E56" s="11" t="s">
        <v>17</v>
      </c>
      <c r="F56" s="11" t="s">
        <v>18</v>
      </c>
      <c r="G56" s="11">
        <v>5</v>
      </c>
      <c r="H56" s="13">
        <v>46107</v>
      </c>
      <c r="I56" s="13">
        <v>46108</v>
      </c>
      <c r="J56" s="11" t="s">
        <v>136</v>
      </c>
      <c r="K56" s="11" t="s">
        <v>137</v>
      </c>
    </row>
    <row r="57" spans="1:11" ht="31.5" customHeight="1" x14ac:dyDescent="0.2">
      <c r="A57" s="14">
        <v>48</v>
      </c>
      <c r="B57" s="14" t="s">
        <v>138</v>
      </c>
      <c r="C57" s="14" t="s">
        <v>117</v>
      </c>
      <c r="D57" s="17" t="s">
        <v>71</v>
      </c>
      <c r="E57" s="11" t="s">
        <v>17</v>
      </c>
      <c r="F57" s="14" t="s">
        <v>18</v>
      </c>
      <c r="G57" s="14">
        <v>3</v>
      </c>
      <c r="H57" s="15">
        <v>46108</v>
      </c>
      <c r="I57" s="15">
        <v>46108</v>
      </c>
      <c r="J57" s="14"/>
      <c r="K57" s="14" t="s">
        <v>139</v>
      </c>
    </row>
    <row r="59" spans="1:11" x14ac:dyDescent="0.2">
      <c r="A59" s="6" t="s">
        <v>140</v>
      </c>
      <c r="B59" s="6"/>
      <c r="C59" s="6"/>
      <c r="D59" s="6"/>
      <c r="E59" s="6"/>
      <c r="F59" s="6"/>
      <c r="G59" s="18">
        <f>SUM(G5:G57)</f>
        <v>161</v>
      </c>
      <c r="H59" s="19"/>
      <c r="I59" s="19"/>
      <c r="J59" s="19"/>
      <c r="K59" s="19"/>
    </row>
  </sheetData>
  <autoFilter ref="A4:K4" xr:uid="{00000000-0009-0000-0000-000000000000}"/>
  <mergeCells count="8">
    <mergeCell ref="A36:K36"/>
    <mergeCell ref="A47:K47"/>
    <mergeCell ref="A59:F59"/>
    <mergeCell ref="A1:K1"/>
    <mergeCell ref="A2:K2"/>
    <mergeCell ref="A5:K5"/>
    <mergeCell ref="A16:K16"/>
    <mergeCell ref="A25:K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97316"/>
  </sheetPr>
  <dimension ref="A1:G18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32" customWidth="1"/>
    <col min="3" max="3" width="40" customWidth="1"/>
    <col min="4" max="4" width="10" customWidth="1"/>
    <col min="5" max="5" width="12" customWidth="1"/>
    <col min="6" max="7" width="16" customWidth="1"/>
  </cols>
  <sheetData>
    <row r="1" spans="1:7" ht="31.5" customHeight="1" x14ac:dyDescent="0.2">
      <c r="A1" s="5" t="s">
        <v>141</v>
      </c>
      <c r="B1" s="5"/>
      <c r="C1" s="5"/>
      <c r="D1" s="5"/>
      <c r="E1" s="5"/>
      <c r="F1" s="5"/>
      <c r="G1" s="5"/>
    </row>
    <row r="3" spans="1:7" x14ac:dyDescent="0.2">
      <c r="A3" s="10" t="s">
        <v>142</v>
      </c>
      <c r="B3" s="10" t="s">
        <v>143</v>
      </c>
      <c r="C3" s="10" t="s">
        <v>144</v>
      </c>
      <c r="D3" s="10" t="s">
        <v>145</v>
      </c>
      <c r="E3" s="10" t="s">
        <v>146</v>
      </c>
      <c r="F3" s="10" t="s">
        <v>6</v>
      </c>
      <c r="G3" s="10" t="s">
        <v>147</v>
      </c>
    </row>
    <row r="4" spans="1:7" x14ac:dyDescent="0.2">
      <c r="A4" s="11" t="s">
        <v>15</v>
      </c>
      <c r="B4" s="11" t="s">
        <v>148</v>
      </c>
      <c r="C4" s="11">
        <v>10</v>
      </c>
      <c r="D4" s="11">
        <v>38</v>
      </c>
      <c r="E4" s="11" t="s">
        <v>149</v>
      </c>
      <c r="F4" s="11" t="s">
        <v>17</v>
      </c>
      <c r="G4" s="11" t="s">
        <v>150</v>
      </c>
    </row>
    <row r="5" spans="1:7" x14ac:dyDescent="0.2">
      <c r="A5" s="14" t="s">
        <v>45</v>
      </c>
      <c r="B5" s="14" t="s">
        <v>151</v>
      </c>
      <c r="C5" s="14">
        <v>8</v>
      </c>
      <c r="D5" s="14">
        <v>33</v>
      </c>
      <c r="E5" s="14" t="s">
        <v>152</v>
      </c>
      <c r="F5" s="11" t="s">
        <v>17</v>
      </c>
      <c r="G5" s="14" t="s">
        <v>150</v>
      </c>
    </row>
    <row r="6" spans="1:7" x14ac:dyDescent="0.2">
      <c r="A6" s="11" t="s">
        <v>68</v>
      </c>
      <c r="B6" s="11" t="s">
        <v>153</v>
      </c>
      <c r="C6" s="11">
        <v>10</v>
      </c>
      <c r="D6" s="11">
        <v>25</v>
      </c>
      <c r="E6" s="11" t="s">
        <v>154</v>
      </c>
      <c r="F6" s="11" t="s">
        <v>17</v>
      </c>
      <c r="G6" s="11" t="s">
        <v>150</v>
      </c>
    </row>
    <row r="7" spans="1:7" x14ac:dyDescent="0.2">
      <c r="A7" s="14" t="s">
        <v>93</v>
      </c>
      <c r="B7" s="14" t="s">
        <v>155</v>
      </c>
      <c r="C7" s="14">
        <v>10</v>
      </c>
      <c r="D7" s="14">
        <v>31</v>
      </c>
      <c r="E7" s="14" t="s">
        <v>156</v>
      </c>
      <c r="F7" s="11" t="s">
        <v>17</v>
      </c>
      <c r="G7" s="14" t="s">
        <v>150</v>
      </c>
    </row>
    <row r="8" spans="1:7" x14ac:dyDescent="0.2">
      <c r="A8" s="11" t="s">
        <v>117</v>
      </c>
      <c r="B8" s="11" t="s">
        <v>157</v>
      </c>
      <c r="C8" s="11">
        <v>10</v>
      </c>
      <c r="D8" s="11">
        <v>34</v>
      </c>
      <c r="E8" s="11" t="s">
        <v>158</v>
      </c>
      <c r="F8" s="11" t="s">
        <v>17</v>
      </c>
      <c r="G8" s="11" t="s">
        <v>150</v>
      </c>
    </row>
    <row r="9" spans="1:7" x14ac:dyDescent="0.2">
      <c r="A9" s="6" t="s">
        <v>159</v>
      </c>
      <c r="B9" s="6"/>
      <c r="C9" s="18">
        <f>SUM(C4:C8)</f>
        <v>48</v>
      </c>
      <c r="D9" s="18">
        <f>SUM(D4:D8)</f>
        <v>161</v>
      </c>
      <c r="E9" s="19"/>
      <c r="F9" s="19"/>
      <c r="G9" s="19"/>
    </row>
    <row r="11" spans="1:7" ht="27.75" customHeight="1" x14ac:dyDescent="0.2">
      <c r="A11" s="4" t="s">
        <v>160</v>
      </c>
      <c r="B11" s="4"/>
      <c r="C11" s="4"/>
      <c r="D11" s="4"/>
      <c r="E11" s="4"/>
      <c r="F11" s="4"/>
      <c r="G11" s="4"/>
    </row>
    <row r="12" spans="1:7" ht="15" customHeight="1" x14ac:dyDescent="0.2">
      <c r="A12" s="10" t="s">
        <v>161</v>
      </c>
      <c r="B12" s="10" t="s">
        <v>162</v>
      </c>
      <c r="C12" s="3" t="s">
        <v>163</v>
      </c>
      <c r="D12" s="3"/>
      <c r="E12" s="3"/>
      <c r="F12" s="3"/>
      <c r="G12" s="3"/>
    </row>
    <row r="13" spans="1:7" x14ac:dyDescent="0.2">
      <c r="A13" s="20" t="s">
        <v>164</v>
      </c>
      <c r="B13" s="21" t="s">
        <v>165</v>
      </c>
      <c r="C13" s="2" t="s">
        <v>166</v>
      </c>
      <c r="D13" s="2"/>
      <c r="E13" s="2"/>
      <c r="F13" s="2"/>
      <c r="G13" s="2"/>
    </row>
    <row r="14" spans="1:7" x14ac:dyDescent="0.2">
      <c r="A14" s="22" t="s">
        <v>167</v>
      </c>
      <c r="B14" s="23" t="s">
        <v>168</v>
      </c>
      <c r="C14" s="1" t="s">
        <v>169</v>
      </c>
      <c r="D14" s="1"/>
      <c r="E14" s="1"/>
      <c r="F14" s="1"/>
      <c r="G14" s="1"/>
    </row>
    <row r="15" spans="1:7" x14ac:dyDescent="0.2">
      <c r="A15" s="20" t="s">
        <v>170</v>
      </c>
      <c r="B15" s="21" t="s">
        <v>171</v>
      </c>
      <c r="C15" s="2" t="s">
        <v>172</v>
      </c>
      <c r="D15" s="2"/>
      <c r="E15" s="2"/>
      <c r="F15" s="2"/>
      <c r="G15" s="2"/>
    </row>
    <row r="16" spans="1:7" x14ac:dyDescent="0.2">
      <c r="A16" s="22" t="s">
        <v>173</v>
      </c>
      <c r="B16" s="23" t="s">
        <v>174</v>
      </c>
      <c r="C16" s="1" t="s">
        <v>175</v>
      </c>
      <c r="D16" s="1"/>
      <c r="E16" s="1"/>
      <c r="F16" s="1"/>
      <c r="G16" s="1"/>
    </row>
    <row r="17" spans="1:7" x14ac:dyDescent="0.2">
      <c r="A17" s="20" t="s">
        <v>176</v>
      </c>
      <c r="B17" s="21" t="s">
        <v>168</v>
      </c>
      <c r="C17" s="2" t="s">
        <v>177</v>
      </c>
      <c r="D17" s="2"/>
      <c r="E17" s="2"/>
      <c r="F17" s="2"/>
      <c r="G17" s="2"/>
    </row>
    <row r="18" spans="1:7" x14ac:dyDescent="0.2">
      <c r="A18" s="22" t="s">
        <v>178</v>
      </c>
      <c r="B18" s="23" t="s">
        <v>168</v>
      </c>
      <c r="C18" s="1" t="s">
        <v>179</v>
      </c>
      <c r="D18" s="1"/>
      <c r="E18" s="1"/>
      <c r="F18" s="1"/>
      <c r="G18" s="1"/>
    </row>
  </sheetData>
  <mergeCells count="10">
    <mergeCell ref="C14:G14"/>
    <mergeCell ref="C15:G15"/>
    <mergeCell ref="C16:G16"/>
    <mergeCell ref="C17:G17"/>
    <mergeCell ref="C18:G18"/>
    <mergeCell ref="A1:G1"/>
    <mergeCell ref="A9:B9"/>
    <mergeCell ref="A11:G11"/>
    <mergeCell ref="C12:G12"/>
    <mergeCell ref="C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H17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22" customWidth="1"/>
    <col min="4" max="4" width="16" customWidth="1"/>
    <col min="5" max="5" width="40" customWidth="1"/>
    <col min="6" max="6" width="12" customWidth="1"/>
    <col min="7" max="7" width="10" customWidth="1"/>
    <col min="8" max="8" width="30" customWidth="1"/>
  </cols>
  <sheetData>
    <row r="1" spans="1:8" ht="31.5" customHeight="1" x14ac:dyDescent="0.2">
      <c r="A1" s="5" t="s">
        <v>180</v>
      </c>
      <c r="B1" s="5"/>
      <c r="C1" s="5"/>
      <c r="D1" s="5"/>
      <c r="E1" s="5"/>
      <c r="F1" s="5"/>
      <c r="G1" s="5"/>
      <c r="H1" s="5"/>
    </row>
    <row r="2" spans="1:8" x14ac:dyDescent="0.2">
      <c r="A2" s="8" t="s">
        <v>181</v>
      </c>
      <c r="B2" s="8"/>
      <c r="C2" s="8"/>
      <c r="D2" s="8"/>
      <c r="E2" s="8"/>
      <c r="F2" s="8"/>
      <c r="G2" s="8"/>
      <c r="H2" s="8"/>
    </row>
    <row r="4" spans="1:8" x14ac:dyDescent="0.2">
      <c r="A4" s="10" t="s">
        <v>182</v>
      </c>
      <c r="B4" s="10" t="s">
        <v>183</v>
      </c>
      <c r="C4" s="10" t="s">
        <v>184</v>
      </c>
      <c r="D4" s="10" t="s">
        <v>185</v>
      </c>
      <c r="E4" s="10" t="s">
        <v>186</v>
      </c>
      <c r="F4" s="10" t="s">
        <v>187</v>
      </c>
      <c r="G4" s="10" t="s">
        <v>188</v>
      </c>
      <c r="H4" s="10" t="s">
        <v>163</v>
      </c>
    </row>
    <row r="5" spans="1:8" ht="25.5" customHeight="1" x14ac:dyDescent="0.2">
      <c r="A5" s="11" t="s">
        <v>189</v>
      </c>
      <c r="B5" s="11" t="s">
        <v>190</v>
      </c>
      <c r="C5" s="11" t="s">
        <v>191</v>
      </c>
      <c r="D5" s="11" t="s">
        <v>192</v>
      </c>
      <c r="E5" s="11" t="s">
        <v>193</v>
      </c>
      <c r="F5" s="11" t="s">
        <v>18</v>
      </c>
      <c r="G5" s="11" t="s">
        <v>194</v>
      </c>
      <c r="H5" s="11" t="s">
        <v>195</v>
      </c>
    </row>
    <row r="6" spans="1:8" ht="25.5" customHeight="1" x14ac:dyDescent="0.2">
      <c r="A6" s="14" t="s">
        <v>196</v>
      </c>
      <c r="B6" s="14" t="s">
        <v>190</v>
      </c>
      <c r="C6" s="14" t="s">
        <v>197</v>
      </c>
      <c r="D6" s="14" t="s">
        <v>192</v>
      </c>
      <c r="E6" s="14" t="s">
        <v>198</v>
      </c>
      <c r="F6" s="14" t="s">
        <v>18</v>
      </c>
      <c r="G6" s="14" t="s">
        <v>194</v>
      </c>
      <c r="H6" s="14" t="s">
        <v>199</v>
      </c>
    </row>
    <row r="7" spans="1:8" ht="25.5" customHeight="1" x14ac:dyDescent="0.2">
      <c r="A7" s="11" t="s">
        <v>200</v>
      </c>
      <c r="B7" s="11" t="s">
        <v>201</v>
      </c>
      <c r="C7" s="11" t="s">
        <v>197</v>
      </c>
      <c r="D7" s="11" t="s">
        <v>192</v>
      </c>
      <c r="E7" s="11" t="s">
        <v>202</v>
      </c>
      <c r="F7" s="11" t="s">
        <v>18</v>
      </c>
      <c r="G7" s="11" t="s">
        <v>194</v>
      </c>
      <c r="H7" s="11" t="s">
        <v>203</v>
      </c>
    </row>
    <row r="8" spans="1:8" ht="25.5" customHeight="1" x14ac:dyDescent="0.2">
      <c r="A8" s="14" t="s">
        <v>204</v>
      </c>
      <c r="B8" s="14" t="s">
        <v>205</v>
      </c>
      <c r="C8" s="14" t="s">
        <v>206</v>
      </c>
      <c r="D8" s="14" t="s">
        <v>192</v>
      </c>
      <c r="E8" s="14" t="s">
        <v>207</v>
      </c>
      <c r="F8" s="14" t="s">
        <v>18</v>
      </c>
      <c r="G8" s="14" t="s">
        <v>194</v>
      </c>
      <c r="H8" s="14" t="s">
        <v>208</v>
      </c>
    </row>
    <row r="9" spans="1:8" ht="25.5" customHeight="1" x14ac:dyDescent="0.2">
      <c r="A9" s="11" t="s">
        <v>209</v>
      </c>
      <c r="B9" s="11" t="s">
        <v>210</v>
      </c>
      <c r="C9" s="11" t="s">
        <v>211</v>
      </c>
      <c r="D9" s="11" t="s">
        <v>192</v>
      </c>
      <c r="E9" s="11" t="s">
        <v>212</v>
      </c>
      <c r="F9" s="11" t="s">
        <v>18</v>
      </c>
      <c r="G9" s="11" t="s">
        <v>194</v>
      </c>
      <c r="H9" s="11" t="s">
        <v>213</v>
      </c>
    </row>
    <row r="10" spans="1:8" ht="25.5" customHeight="1" x14ac:dyDescent="0.2">
      <c r="A10" s="14" t="s">
        <v>214</v>
      </c>
      <c r="B10" s="14" t="s">
        <v>210</v>
      </c>
      <c r="C10" s="14" t="s">
        <v>211</v>
      </c>
      <c r="D10" s="14" t="s">
        <v>192</v>
      </c>
      <c r="E10" s="14" t="s">
        <v>215</v>
      </c>
      <c r="F10" s="14" t="s">
        <v>18</v>
      </c>
      <c r="G10" s="14" t="s">
        <v>194</v>
      </c>
      <c r="H10" s="14" t="s">
        <v>216</v>
      </c>
    </row>
    <row r="11" spans="1:8" ht="25.5" customHeight="1" x14ac:dyDescent="0.2">
      <c r="A11" s="11" t="s">
        <v>217</v>
      </c>
      <c r="B11" s="11" t="s">
        <v>218</v>
      </c>
      <c r="C11" s="11" t="s">
        <v>219</v>
      </c>
      <c r="D11" s="11" t="s">
        <v>192</v>
      </c>
      <c r="E11" s="11" t="s">
        <v>220</v>
      </c>
      <c r="F11" s="11" t="s">
        <v>18</v>
      </c>
      <c r="G11" s="11" t="s">
        <v>194</v>
      </c>
      <c r="H11" s="11" t="s">
        <v>221</v>
      </c>
    </row>
    <row r="12" spans="1:8" ht="25.5" customHeight="1" x14ac:dyDescent="0.2">
      <c r="A12" s="14" t="s">
        <v>222</v>
      </c>
      <c r="B12" s="14" t="s">
        <v>223</v>
      </c>
      <c r="C12" s="14" t="s">
        <v>224</v>
      </c>
      <c r="D12" s="14" t="s">
        <v>192</v>
      </c>
      <c r="E12" s="14" t="s">
        <v>225</v>
      </c>
      <c r="F12" s="14" t="s">
        <v>18</v>
      </c>
      <c r="G12" s="14" t="s">
        <v>194</v>
      </c>
      <c r="H12" s="14" t="s">
        <v>226</v>
      </c>
    </row>
    <row r="13" spans="1:8" ht="25.5" customHeight="1" x14ac:dyDescent="0.2">
      <c r="A13" s="11" t="s">
        <v>227</v>
      </c>
      <c r="B13" s="11" t="s">
        <v>228</v>
      </c>
      <c r="C13" s="11" t="s">
        <v>224</v>
      </c>
      <c r="D13" s="11" t="s">
        <v>192</v>
      </c>
      <c r="E13" s="11" t="s">
        <v>229</v>
      </c>
      <c r="F13" s="11" t="s">
        <v>18</v>
      </c>
      <c r="G13" s="11" t="s">
        <v>194</v>
      </c>
      <c r="H13" s="11" t="s">
        <v>230</v>
      </c>
    </row>
    <row r="14" spans="1:8" ht="25.5" customHeight="1" x14ac:dyDescent="0.2">
      <c r="A14" s="14" t="s">
        <v>231</v>
      </c>
      <c r="B14" s="14" t="s">
        <v>232</v>
      </c>
      <c r="C14" s="14" t="s">
        <v>211</v>
      </c>
      <c r="D14" s="14" t="s">
        <v>192</v>
      </c>
      <c r="E14" s="14" t="s">
        <v>233</v>
      </c>
      <c r="F14" s="14" t="s">
        <v>18</v>
      </c>
      <c r="G14" s="14" t="s">
        <v>194</v>
      </c>
      <c r="H14" s="14" t="s">
        <v>234</v>
      </c>
    </row>
    <row r="15" spans="1:8" ht="25.5" customHeight="1" x14ac:dyDescent="0.2">
      <c r="A15" s="11" t="s">
        <v>235</v>
      </c>
      <c r="B15" s="11" t="s">
        <v>236</v>
      </c>
      <c r="C15" s="11" t="s">
        <v>224</v>
      </c>
      <c r="D15" s="11" t="s">
        <v>192</v>
      </c>
      <c r="E15" s="11" t="s">
        <v>237</v>
      </c>
      <c r="F15" s="11" t="s">
        <v>18</v>
      </c>
      <c r="G15" s="11" t="s">
        <v>194</v>
      </c>
      <c r="H15" s="11" t="s">
        <v>238</v>
      </c>
    </row>
    <row r="16" spans="1:8" ht="25.5" customHeight="1" x14ac:dyDescent="0.2">
      <c r="A16" s="14" t="s">
        <v>239</v>
      </c>
      <c r="B16" s="14" t="s">
        <v>240</v>
      </c>
      <c r="C16" s="14" t="s">
        <v>197</v>
      </c>
      <c r="D16" s="14" t="s">
        <v>241</v>
      </c>
      <c r="E16" s="14" t="s">
        <v>242</v>
      </c>
      <c r="F16" s="14" t="s">
        <v>18</v>
      </c>
      <c r="G16" s="14" t="s">
        <v>194</v>
      </c>
      <c r="H16" s="14" t="s">
        <v>243</v>
      </c>
    </row>
    <row r="17" spans="1:8" ht="25.5" customHeight="1" x14ac:dyDescent="0.2">
      <c r="A17" s="11" t="s">
        <v>244</v>
      </c>
      <c r="B17" s="11" t="s">
        <v>245</v>
      </c>
      <c r="C17" s="11" t="s">
        <v>246</v>
      </c>
      <c r="D17" s="11" t="s">
        <v>247</v>
      </c>
      <c r="E17" s="11" t="s">
        <v>248</v>
      </c>
      <c r="F17" s="11" t="s">
        <v>18</v>
      </c>
      <c r="G17" s="11" t="s">
        <v>249</v>
      </c>
      <c r="H17" s="11" t="s">
        <v>250</v>
      </c>
    </row>
  </sheetData>
  <autoFilter ref="A4:H4" xr:uid="{00000000-0009-0000-0000-000002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C2626"/>
  </sheetPr>
  <dimension ref="A1:H13"/>
  <sheetViews>
    <sheetView zoomScaleNormal="100" workbookViewId="0"/>
  </sheetViews>
  <sheetFormatPr baseColWidth="10" defaultColWidth="8.6640625" defaultRowHeight="15" x14ac:dyDescent="0.2"/>
  <cols>
    <col min="1" max="1" width="5" customWidth="1"/>
    <col min="2" max="2" width="30" customWidth="1"/>
    <col min="3" max="3" width="14" customWidth="1"/>
    <col min="4" max="5" width="12" customWidth="1"/>
    <col min="6" max="6" width="38" customWidth="1"/>
    <col min="7" max="7" width="10" customWidth="1"/>
    <col min="8" max="8" width="14" customWidth="1"/>
  </cols>
  <sheetData>
    <row r="1" spans="1:8" ht="31.5" customHeight="1" x14ac:dyDescent="0.2">
      <c r="A1" s="5" t="s">
        <v>251</v>
      </c>
      <c r="B1" s="5"/>
      <c r="C1" s="5"/>
      <c r="D1" s="5"/>
      <c r="E1" s="5"/>
      <c r="F1" s="5"/>
      <c r="G1" s="5"/>
      <c r="H1" s="5"/>
    </row>
    <row r="3" spans="1:8" x14ac:dyDescent="0.2">
      <c r="A3" s="10" t="s">
        <v>2</v>
      </c>
      <c r="B3" s="10" t="s">
        <v>252</v>
      </c>
      <c r="C3" s="10" t="s">
        <v>253</v>
      </c>
      <c r="D3" s="10" t="s">
        <v>254</v>
      </c>
      <c r="E3" s="10" t="s">
        <v>255</v>
      </c>
      <c r="F3" s="10" t="s">
        <v>256</v>
      </c>
      <c r="G3" s="10" t="s">
        <v>7</v>
      </c>
      <c r="H3" s="10" t="s">
        <v>6</v>
      </c>
    </row>
    <row r="4" spans="1:8" ht="48" customHeight="1" x14ac:dyDescent="0.2">
      <c r="A4" s="11">
        <v>1</v>
      </c>
      <c r="B4" s="11" t="s">
        <v>257</v>
      </c>
      <c r="C4" s="11" t="s">
        <v>258</v>
      </c>
      <c r="D4" s="11" t="s">
        <v>259</v>
      </c>
      <c r="E4" s="11" t="s">
        <v>260</v>
      </c>
      <c r="F4" s="11" t="s">
        <v>261</v>
      </c>
      <c r="G4" s="11" t="s">
        <v>18</v>
      </c>
      <c r="H4" s="11" t="s">
        <v>262</v>
      </c>
    </row>
    <row r="5" spans="1:8" ht="48" customHeight="1" x14ac:dyDescent="0.2">
      <c r="A5" s="14">
        <v>2</v>
      </c>
      <c r="B5" s="14" t="s">
        <v>263</v>
      </c>
      <c r="C5" s="14" t="s">
        <v>264</v>
      </c>
      <c r="D5" s="14" t="s">
        <v>260</v>
      </c>
      <c r="E5" s="14" t="s">
        <v>260</v>
      </c>
      <c r="F5" s="14" t="s">
        <v>265</v>
      </c>
      <c r="G5" s="14" t="s">
        <v>18</v>
      </c>
      <c r="H5" s="14" t="s">
        <v>262</v>
      </c>
    </row>
    <row r="6" spans="1:8" ht="48" customHeight="1" x14ac:dyDescent="0.2">
      <c r="A6" s="11">
        <v>3</v>
      </c>
      <c r="B6" s="11" t="s">
        <v>266</v>
      </c>
      <c r="C6" s="11" t="s">
        <v>267</v>
      </c>
      <c r="D6" s="11" t="s">
        <v>259</v>
      </c>
      <c r="E6" s="11" t="s">
        <v>268</v>
      </c>
      <c r="F6" s="11" t="s">
        <v>269</v>
      </c>
      <c r="G6" s="11" t="s">
        <v>18</v>
      </c>
      <c r="H6" s="11" t="s">
        <v>262</v>
      </c>
    </row>
    <row r="7" spans="1:8" ht="48" customHeight="1" x14ac:dyDescent="0.2">
      <c r="A7" s="14">
        <v>4</v>
      </c>
      <c r="B7" s="14" t="s">
        <v>270</v>
      </c>
      <c r="C7" s="14" t="s">
        <v>271</v>
      </c>
      <c r="D7" s="14" t="s">
        <v>259</v>
      </c>
      <c r="E7" s="14" t="s">
        <v>259</v>
      </c>
      <c r="F7" s="14" t="s">
        <v>272</v>
      </c>
      <c r="G7" s="14" t="s">
        <v>18</v>
      </c>
      <c r="H7" s="14" t="s">
        <v>262</v>
      </c>
    </row>
    <row r="8" spans="1:8" ht="48" customHeight="1" x14ac:dyDescent="0.2">
      <c r="A8" s="11">
        <v>5</v>
      </c>
      <c r="B8" s="11" t="s">
        <v>273</v>
      </c>
      <c r="C8" s="11" t="s">
        <v>274</v>
      </c>
      <c r="D8" s="11" t="s">
        <v>275</v>
      </c>
      <c r="E8" s="11" t="s">
        <v>259</v>
      </c>
      <c r="F8" s="11" t="s">
        <v>276</v>
      </c>
      <c r="G8" s="11" t="s">
        <v>18</v>
      </c>
      <c r="H8" s="11" t="s">
        <v>262</v>
      </c>
    </row>
    <row r="9" spans="1:8" ht="48" customHeight="1" x14ac:dyDescent="0.2">
      <c r="A9" s="14">
        <v>6</v>
      </c>
      <c r="B9" s="14" t="s">
        <v>277</v>
      </c>
      <c r="C9" s="14" t="s">
        <v>274</v>
      </c>
      <c r="D9" s="14" t="s">
        <v>275</v>
      </c>
      <c r="E9" s="14" t="s">
        <v>259</v>
      </c>
      <c r="F9" s="14" t="s">
        <v>278</v>
      </c>
      <c r="G9" s="14" t="s">
        <v>18</v>
      </c>
      <c r="H9" s="14" t="s">
        <v>262</v>
      </c>
    </row>
    <row r="10" spans="1:8" ht="48" customHeight="1" x14ac:dyDescent="0.2">
      <c r="A10" s="11">
        <v>7</v>
      </c>
      <c r="B10" s="11" t="s">
        <v>279</v>
      </c>
      <c r="C10" s="11" t="s">
        <v>280</v>
      </c>
      <c r="D10" s="11" t="s">
        <v>259</v>
      </c>
      <c r="E10" s="11" t="s">
        <v>260</v>
      </c>
      <c r="F10" s="11" t="s">
        <v>281</v>
      </c>
      <c r="G10" s="11" t="s">
        <v>18</v>
      </c>
      <c r="H10" s="11" t="s">
        <v>262</v>
      </c>
    </row>
    <row r="11" spans="1:8" ht="48" customHeight="1" x14ac:dyDescent="0.2">
      <c r="A11" s="14">
        <v>8</v>
      </c>
      <c r="B11" s="14" t="s">
        <v>282</v>
      </c>
      <c r="C11" s="14" t="s">
        <v>283</v>
      </c>
      <c r="D11" s="14" t="s">
        <v>260</v>
      </c>
      <c r="E11" s="14" t="s">
        <v>259</v>
      </c>
      <c r="F11" s="14" t="s">
        <v>284</v>
      </c>
      <c r="G11" s="14" t="s">
        <v>18</v>
      </c>
      <c r="H11" s="14" t="s">
        <v>262</v>
      </c>
    </row>
    <row r="12" spans="1:8" ht="48" customHeight="1" x14ac:dyDescent="0.2">
      <c r="A12" s="11">
        <v>9</v>
      </c>
      <c r="B12" s="11" t="s">
        <v>285</v>
      </c>
      <c r="C12" s="11" t="s">
        <v>286</v>
      </c>
      <c r="D12" s="11" t="s">
        <v>275</v>
      </c>
      <c r="E12" s="11" t="s">
        <v>259</v>
      </c>
      <c r="F12" s="11" t="s">
        <v>287</v>
      </c>
      <c r="G12" s="11" t="s">
        <v>18</v>
      </c>
      <c r="H12" s="11" t="s">
        <v>262</v>
      </c>
    </row>
    <row r="13" spans="1:8" ht="48" customHeight="1" x14ac:dyDescent="0.2">
      <c r="A13" s="14">
        <v>10</v>
      </c>
      <c r="B13" s="14" t="s">
        <v>288</v>
      </c>
      <c r="C13" s="14" t="s">
        <v>289</v>
      </c>
      <c r="D13" s="14" t="s">
        <v>259</v>
      </c>
      <c r="E13" s="14" t="s">
        <v>259</v>
      </c>
      <c r="F13" s="14" t="s">
        <v>290</v>
      </c>
      <c r="G13" s="14" t="s">
        <v>18</v>
      </c>
      <c r="H13" s="14" t="s">
        <v>262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563EB"/>
  </sheetPr>
  <dimension ref="A1:F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0" customWidth="1"/>
    <col min="3" max="3" width="10" customWidth="1"/>
    <col min="4" max="5" width="14" customWidth="1"/>
    <col min="6" max="6" width="50" customWidth="1"/>
  </cols>
  <sheetData>
    <row r="1" spans="1:6" ht="31.5" customHeight="1" x14ac:dyDescent="0.2">
      <c r="A1" s="5" t="s">
        <v>291</v>
      </c>
      <c r="B1" s="5"/>
      <c r="C1" s="5"/>
      <c r="D1" s="5"/>
      <c r="E1" s="5"/>
      <c r="F1" s="5"/>
    </row>
    <row r="2" spans="1:6" x14ac:dyDescent="0.2">
      <c r="A2" s="8" t="s">
        <v>292</v>
      </c>
      <c r="B2" s="8"/>
      <c r="C2" s="8"/>
      <c r="D2" s="8"/>
      <c r="E2" s="8"/>
      <c r="F2" s="8"/>
    </row>
    <row r="4" spans="1:6" x14ac:dyDescent="0.2">
      <c r="A4" s="10" t="s">
        <v>293</v>
      </c>
      <c r="B4" s="10" t="s">
        <v>253</v>
      </c>
      <c r="C4" s="10" t="s">
        <v>182</v>
      </c>
      <c r="D4" s="10" t="s">
        <v>6</v>
      </c>
      <c r="E4" s="10" t="s">
        <v>294</v>
      </c>
      <c r="F4" s="10" t="s">
        <v>295</v>
      </c>
    </row>
    <row r="5" spans="1:6" ht="27.75" customHeight="1" x14ac:dyDescent="0.2">
      <c r="A5" s="11" t="s">
        <v>296</v>
      </c>
      <c r="B5" s="11" t="s">
        <v>297</v>
      </c>
      <c r="C5" s="11" t="s">
        <v>298</v>
      </c>
      <c r="D5" s="11" t="s">
        <v>299</v>
      </c>
      <c r="E5" s="11" t="s">
        <v>210</v>
      </c>
      <c r="F5" s="11" t="s">
        <v>300</v>
      </c>
    </row>
    <row r="6" spans="1:6" ht="27.75" customHeight="1" x14ac:dyDescent="0.2">
      <c r="A6" s="14" t="s">
        <v>301</v>
      </c>
      <c r="B6" s="14" t="s">
        <v>302</v>
      </c>
      <c r="C6" s="14" t="s">
        <v>298</v>
      </c>
      <c r="D6" s="14" t="s">
        <v>299</v>
      </c>
      <c r="E6" s="14" t="s">
        <v>210</v>
      </c>
      <c r="F6" s="14" t="s">
        <v>303</v>
      </c>
    </row>
    <row r="7" spans="1:6" ht="27.75" customHeight="1" x14ac:dyDescent="0.2">
      <c r="A7" s="11" t="s">
        <v>304</v>
      </c>
      <c r="B7" s="11" t="s">
        <v>305</v>
      </c>
      <c r="C7" s="11" t="s">
        <v>298</v>
      </c>
      <c r="D7" s="11" t="s">
        <v>299</v>
      </c>
      <c r="E7" s="11" t="s">
        <v>210</v>
      </c>
      <c r="F7" s="11" t="s">
        <v>306</v>
      </c>
    </row>
    <row r="8" spans="1:6" ht="27.75" customHeight="1" x14ac:dyDescent="0.2">
      <c r="A8" s="14" t="s">
        <v>307</v>
      </c>
      <c r="B8" s="14" t="s">
        <v>308</v>
      </c>
      <c r="C8" s="14" t="s">
        <v>298</v>
      </c>
      <c r="D8" s="14" t="s">
        <v>299</v>
      </c>
      <c r="E8" s="14" t="s">
        <v>210</v>
      </c>
      <c r="F8" s="14" t="s">
        <v>309</v>
      </c>
    </row>
    <row r="9" spans="1:6" ht="27.75" customHeight="1" x14ac:dyDescent="0.2">
      <c r="A9" s="11" t="s">
        <v>310</v>
      </c>
      <c r="B9" s="11" t="s">
        <v>311</v>
      </c>
      <c r="C9" s="11" t="s">
        <v>298</v>
      </c>
      <c r="D9" s="11" t="s">
        <v>299</v>
      </c>
      <c r="E9" s="11" t="s">
        <v>210</v>
      </c>
      <c r="F9" s="11" t="s">
        <v>312</v>
      </c>
    </row>
    <row r="10" spans="1:6" ht="27.75" customHeight="1" x14ac:dyDescent="0.2">
      <c r="A10" s="14" t="s">
        <v>313</v>
      </c>
      <c r="B10" s="14" t="s">
        <v>314</v>
      </c>
      <c r="C10" s="14" t="s">
        <v>298</v>
      </c>
      <c r="D10" s="14" t="s">
        <v>299</v>
      </c>
      <c r="E10" s="14" t="s">
        <v>210</v>
      </c>
      <c r="F10" s="14" t="s">
        <v>315</v>
      </c>
    </row>
    <row r="11" spans="1:6" ht="27.75" customHeight="1" x14ac:dyDescent="0.2">
      <c r="A11" s="11" t="s">
        <v>316</v>
      </c>
      <c r="B11" s="11" t="s">
        <v>317</v>
      </c>
      <c r="C11" s="11" t="s">
        <v>298</v>
      </c>
      <c r="D11" s="11" t="s">
        <v>299</v>
      </c>
      <c r="E11" s="11" t="s">
        <v>210</v>
      </c>
      <c r="F11" s="11" t="s">
        <v>318</v>
      </c>
    </row>
    <row r="12" spans="1:6" ht="27.75" customHeight="1" x14ac:dyDescent="0.2">
      <c r="A12" s="14" t="s">
        <v>319</v>
      </c>
      <c r="B12" s="14" t="s">
        <v>320</v>
      </c>
      <c r="C12" s="14" t="s">
        <v>298</v>
      </c>
      <c r="D12" s="14" t="s">
        <v>299</v>
      </c>
      <c r="E12" s="14" t="s">
        <v>210</v>
      </c>
      <c r="F12" s="14" t="s">
        <v>321</v>
      </c>
    </row>
    <row r="13" spans="1:6" ht="27.75" customHeight="1" x14ac:dyDescent="0.2">
      <c r="A13" s="11" t="s">
        <v>322</v>
      </c>
      <c r="B13" s="11" t="s">
        <v>323</v>
      </c>
      <c r="C13" s="11" t="s">
        <v>298</v>
      </c>
      <c r="D13" s="11" t="s">
        <v>299</v>
      </c>
      <c r="E13" s="11" t="s">
        <v>232</v>
      </c>
      <c r="F13" s="11" t="s">
        <v>324</v>
      </c>
    </row>
    <row r="14" spans="1:6" ht="27.75" customHeight="1" x14ac:dyDescent="0.2">
      <c r="A14" s="14" t="s">
        <v>325</v>
      </c>
      <c r="B14" s="14" t="s">
        <v>326</v>
      </c>
      <c r="C14" s="14" t="s">
        <v>298</v>
      </c>
      <c r="D14" s="14" t="s">
        <v>299</v>
      </c>
      <c r="E14" s="14" t="s">
        <v>232</v>
      </c>
      <c r="F14" s="14" t="s">
        <v>327</v>
      </c>
    </row>
    <row r="15" spans="1:6" ht="27.75" customHeight="1" x14ac:dyDescent="0.2">
      <c r="A15" s="11" t="s">
        <v>328</v>
      </c>
      <c r="B15" s="11" t="s">
        <v>329</v>
      </c>
      <c r="C15" s="11" t="s">
        <v>298</v>
      </c>
      <c r="D15" s="11" t="s">
        <v>299</v>
      </c>
      <c r="E15" s="11" t="s">
        <v>232</v>
      </c>
      <c r="F15" s="11" t="s">
        <v>330</v>
      </c>
    </row>
    <row r="16" spans="1:6" ht="27.75" customHeight="1" x14ac:dyDescent="0.2">
      <c r="A16" s="14" t="s">
        <v>331</v>
      </c>
      <c r="B16" s="14" t="s">
        <v>332</v>
      </c>
      <c r="C16" s="14" t="s">
        <v>298</v>
      </c>
      <c r="D16" s="14" t="s">
        <v>299</v>
      </c>
      <c r="E16" s="14" t="s">
        <v>232</v>
      </c>
      <c r="F16" s="14" t="s">
        <v>102</v>
      </c>
    </row>
    <row r="17" spans="1:6" ht="27.75" customHeight="1" x14ac:dyDescent="0.2">
      <c r="A17" s="11" t="s">
        <v>333</v>
      </c>
      <c r="B17" s="11" t="s">
        <v>334</v>
      </c>
      <c r="C17" s="11" t="s">
        <v>298</v>
      </c>
      <c r="D17" s="11" t="s">
        <v>299</v>
      </c>
      <c r="E17" s="11" t="s">
        <v>232</v>
      </c>
      <c r="F17" s="11" t="s">
        <v>335</v>
      </c>
    </row>
    <row r="18" spans="1:6" ht="27.75" customHeight="1" x14ac:dyDescent="0.2">
      <c r="A18" s="14" t="s">
        <v>336</v>
      </c>
      <c r="B18" s="14" t="s">
        <v>337</v>
      </c>
      <c r="C18" s="14" t="s">
        <v>298</v>
      </c>
      <c r="D18" s="14" t="s">
        <v>299</v>
      </c>
      <c r="E18" s="14" t="s">
        <v>232</v>
      </c>
      <c r="F18" s="14" t="s">
        <v>338</v>
      </c>
    </row>
  </sheetData>
  <autoFilter ref="A4:F4" xr:uid="{00000000-0009-0000-0000-000004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59669"/>
  </sheetPr>
  <dimension ref="A1:F12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2" width="18" customWidth="1"/>
    <col min="3" max="3" width="16" customWidth="1"/>
    <col min="4" max="5" width="18" customWidth="1"/>
    <col min="6" max="6" width="30" customWidth="1"/>
  </cols>
  <sheetData>
    <row r="1" spans="1:6" ht="31.5" customHeight="1" x14ac:dyDescent="0.2">
      <c r="A1" s="5" t="s">
        <v>339</v>
      </c>
      <c r="B1" s="5"/>
      <c r="C1" s="5"/>
      <c r="D1" s="5"/>
      <c r="E1" s="5"/>
      <c r="F1" s="5"/>
    </row>
    <row r="3" spans="1:6" x14ac:dyDescent="0.2">
      <c r="A3" s="10" t="s">
        <v>340</v>
      </c>
      <c r="B3" s="10" t="s">
        <v>341</v>
      </c>
      <c r="C3" s="10" t="s">
        <v>342</v>
      </c>
      <c r="D3" s="10" t="s">
        <v>343</v>
      </c>
      <c r="E3" s="10" t="s">
        <v>344</v>
      </c>
      <c r="F3" s="10" t="s">
        <v>163</v>
      </c>
    </row>
    <row r="4" spans="1:6" ht="28" x14ac:dyDescent="0.2">
      <c r="A4" s="11" t="s">
        <v>345</v>
      </c>
      <c r="B4" s="11" t="s">
        <v>346</v>
      </c>
      <c r="C4" s="24">
        <v>25</v>
      </c>
      <c r="D4" s="11"/>
      <c r="E4" s="11"/>
      <c r="F4" s="11" t="s">
        <v>347</v>
      </c>
    </row>
    <row r="5" spans="1:6" ht="28" x14ac:dyDescent="0.2">
      <c r="A5" s="14" t="s">
        <v>348</v>
      </c>
      <c r="B5" s="14" t="s">
        <v>349</v>
      </c>
      <c r="C5" s="25">
        <v>15</v>
      </c>
      <c r="D5" s="14"/>
      <c r="E5" s="14"/>
      <c r="F5" s="14" t="s">
        <v>350</v>
      </c>
    </row>
    <row r="6" spans="1:6" ht="28" x14ac:dyDescent="0.2">
      <c r="A6" s="11" t="s">
        <v>351</v>
      </c>
      <c r="B6" s="11" t="s">
        <v>349</v>
      </c>
      <c r="C6" s="24">
        <v>75</v>
      </c>
      <c r="D6" s="11"/>
      <c r="E6" s="11"/>
      <c r="F6" s="11" t="s">
        <v>352</v>
      </c>
    </row>
    <row r="7" spans="1:6" ht="28" x14ac:dyDescent="0.2">
      <c r="A7" s="14" t="s">
        <v>353</v>
      </c>
      <c r="B7" s="14" t="s">
        <v>349</v>
      </c>
      <c r="C7" s="25">
        <v>35</v>
      </c>
      <c r="D7" s="14"/>
      <c r="E7" s="14"/>
      <c r="F7" s="14" t="s">
        <v>354</v>
      </c>
    </row>
    <row r="8" spans="1:6" ht="28" x14ac:dyDescent="0.2">
      <c r="A8" s="11" t="s">
        <v>355</v>
      </c>
      <c r="B8" s="11" t="s">
        <v>356</v>
      </c>
      <c r="C8" s="24">
        <v>10</v>
      </c>
      <c r="D8" s="11"/>
      <c r="E8" s="11"/>
      <c r="F8" s="11" t="s">
        <v>357</v>
      </c>
    </row>
    <row r="9" spans="1:6" x14ac:dyDescent="0.2">
      <c r="A9" s="14" t="s">
        <v>358</v>
      </c>
      <c r="B9" s="14" t="s">
        <v>359</v>
      </c>
      <c r="C9" s="25">
        <v>20</v>
      </c>
      <c r="D9" s="14"/>
      <c r="E9" s="14"/>
      <c r="F9" s="14" t="s">
        <v>360</v>
      </c>
    </row>
    <row r="10" spans="1:6" x14ac:dyDescent="0.2">
      <c r="A10" s="11" t="s">
        <v>361</v>
      </c>
      <c r="B10" s="11" t="s">
        <v>362</v>
      </c>
      <c r="C10" s="24">
        <v>0</v>
      </c>
      <c r="D10" s="11"/>
      <c r="E10" s="11"/>
      <c r="F10" s="11" t="s">
        <v>363</v>
      </c>
    </row>
    <row r="11" spans="1:6" x14ac:dyDescent="0.2">
      <c r="A11" s="14" t="s">
        <v>364</v>
      </c>
      <c r="B11" s="14" t="s">
        <v>365</v>
      </c>
      <c r="C11" s="25">
        <v>0</v>
      </c>
      <c r="D11" s="14"/>
      <c r="E11" s="14"/>
      <c r="F11" s="14" t="s">
        <v>366</v>
      </c>
    </row>
    <row r="12" spans="1:6" x14ac:dyDescent="0.2">
      <c r="A12" s="6" t="s">
        <v>367</v>
      </c>
      <c r="B12" s="6"/>
      <c r="C12" s="26">
        <f>SUM(C4:C11)</f>
        <v>180</v>
      </c>
      <c r="D12" s="19"/>
      <c r="E12" s="19"/>
      <c r="F12" s="19"/>
    </row>
  </sheetData>
  <mergeCells count="2">
    <mergeCell ref="A1:F1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Plan</vt:lpstr>
      <vt:lpstr>Sprint Dashboard</vt:lpstr>
      <vt:lpstr>Version Control</vt:lpstr>
      <vt:lpstr>Risk Register</vt:lpstr>
      <vt:lpstr>Prompt Library</vt:lpstr>
      <vt:lpstr>Cost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Mike  Beebe</cp:lastModifiedBy>
  <cp:revision>0</cp:revision>
  <dcterms:created xsi:type="dcterms:W3CDTF">2026-02-23T15:26:42Z</dcterms:created>
  <dcterms:modified xsi:type="dcterms:W3CDTF">2026-02-23T16:57:36Z</dcterms:modified>
  <dc:language>en-US</dc:language>
</cp:coreProperties>
</file>