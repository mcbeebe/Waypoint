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P&amp;L" sheetId="2" state="visible" r:id="rId4"/>
    <sheet name="Unit Economics" sheetId="3" state="visible" r:id="rId5"/>
    <sheet name="Scenario Analysis" sheetId="4" state="visible" r:id="rId6"/>
    <sheet name="Cash Flow Summary" sheetId="5" state="visible" r:id="rId7"/>
    <sheet name="Sensitivity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<sst xmlns="http://schemas.openxmlformats.org/spreadsheetml/2006/main" count="323" uniqueCount="262">
  <si>
    <t xml:space="preserve">WAYPOINT FINANCIAL MODEL V3 — CONSERVATIVE + HONEST</t>
  </si>
  <si>
    <t xml:space="preserve">Feb 2026 | Includes founder comp, channel caps, KB costs | Blue = editable</t>
  </si>
  <si>
    <t xml:space="preserve">PRICING</t>
  </si>
  <si>
    <t xml:space="preserve">Navigator tier (monthly)</t>
  </si>
  <si>
    <t xml:space="preserve">Navigator Pro tier (monthly)</t>
  </si>
  <si>
    <t xml:space="preserve">Pro tier % of paid subscribers</t>
  </si>
  <si>
    <t xml:space="preserve">IEPClarity avg purchase price</t>
  </si>
  <si>
    <t xml:space="preserve">$29-69 range</t>
  </si>
  <si>
    <t xml:space="preserve">RC reimbursement per user/month</t>
  </si>
  <si>
    <t xml:space="preserve">POS 371/331</t>
  </si>
  <si>
    <t xml:space="preserve">B2B provider listing (monthly)</t>
  </si>
  <si>
    <t xml:space="preserve">SUBSCRIBER GROWTH</t>
  </si>
  <si>
    <t xml:space="preserve">Month 1 new paid subscribers</t>
  </si>
  <si>
    <t xml:space="preserve">Solo founder, organic only</t>
  </si>
  <si>
    <t xml:space="preserve">Monthly growth rate (Mo 1-6)</t>
  </si>
  <si>
    <t xml:space="preserve">FB groups, Reddit, personal network</t>
  </si>
  <si>
    <t xml:space="preserve">Monthly growth rate (Mo 7-12)</t>
  </si>
  <si>
    <t xml:space="preserve">IEPClarity funnel + advocates</t>
  </si>
  <si>
    <t xml:space="preserve">Monthly growth rate (Mo 13-18)</t>
  </si>
  <si>
    <t xml:space="preserve">Monthly growth rate (Mo 19-24)</t>
  </si>
  <si>
    <t xml:space="preserve">Monthly churn rate</t>
  </si>
  <si>
    <t xml:space="preserve">7% = realistic pre-PMF</t>
  </si>
  <si>
    <t xml:space="preserve">Organic subscriber ceiling (logistic cap)</t>
  </si>
  <si>
    <t xml:space="preserve">FIX: channels saturate ~400 subs without paid acq</t>
  </si>
  <si>
    <t xml:space="preserve">RC REIMBURSEMENT</t>
  </si>
  <si>
    <t xml:space="preserve">RC pilot start month</t>
  </si>
  <si>
    <t xml:space="preserve">Month 9: RC bureaucracy</t>
  </si>
  <si>
    <t xml:space="preserve">Initial RC users (pilot)</t>
  </si>
  <si>
    <t xml:space="preserve">Small pilot</t>
  </si>
  <si>
    <t xml:space="preserve">Monthly RC user growth</t>
  </si>
  <si>
    <t xml:space="preserve">RC growth acceleration (Mo 13+)</t>
  </si>
  <si>
    <t xml:space="preserve">IEPCLARITY FEEDER</t>
  </si>
  <si>
    <t xml:space="preserve">IEPClarity launch month</t>
  </si>
  <si>
    <t xml:space="preserve">IEPClarity monthly new customers (steady)</t>
  </si>
  <si>
    <t xml:space="preserve">FIX: steady monthly volume, not exponential</t>
  </si>
  <si>
    <t xml:space="preserve">IEPClarity monthly growth rate</t>
  </si>
  <si>
    <t xml:space="preserve">Grows 20%/mo from base</t>
  </si>
  <si>
    <t xml:space="preserve">IEPClarity → Waypoint conversion</t>
  </si>
  <si>
    <t xml:space="preserve">5% = unproven</t>
  </si>
  <si>
    <t xml:space="preserve">COSTS (INCLUDES FOUNDER COMP)</t>
  </si>
  <si>
    <t xml:space="preserve">Claude API cost per user/month</t>
  </si>
  <si>
    <t xml:space="preserve">$1.25 = buffer</t>
  </si>
  <si>
    <t xml:space="preserve">Infrastructure base</t>
  </si>
  <si>
    <t xml:space="preserve">Infrastructure per-user</t>
  </si>
  <si>
    <t xml:space="preserve">SMS cost per user/month</t>
  </si>
  <si>
    <t xml:space="preserve">Domain + SaaS tools</t>
  </si>
  <si>
    <t xml:space="preserve">Marketing (Mo 1-6)</t>
  </si>
  <si>
    <t xml:space="preserve">Marketing (Mo 7-12)</t>
  </si>
  <si>
    <t xml:space="preserve">Marketing (Mo 13-24)</t>
  </si>
  <si>
    <t xml:space="preserve">KB Maintenance + Content (Mo 7+)</t>
  </si>
  <si>
    <t xml:space="preserve">FIX: was $1,500; $2,500 = KB accuracy + blog</t>
  </si>
  <si>
    <t xml:space="preserve">Legal/compliance (quarterly)</t>
  </si>
  <si>
    <t xml:space="preserve">HIPAA review</t>
  </si>
  <si>
    <t xml:space="preserve">Founder salary (Mo 1-6)</t>
  </si>
  <si>
    <t xml:space="preserve">FIX: honest model includes founder comp</t>
  </si>
  <si>
    <t xml:space="preserve">Founder salary (Mo 7-12)</t>
  </si>
  <si>
    <t xml:space="preserve">Founder salary (Mo 13-24)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</si>
  <si>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</si>
  <si>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</si>
  <si>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</si>
  <si>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</si>
  <si>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</si>
  <si>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</si>
  <si>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</si>
  <si>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</si>
  <si>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</si>
  <si>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</si>
  <si>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</si>
  <si>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</si>
  <si>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</si>
  <si>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</si>
  <si>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</si>
  <si>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</si>
  <si>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</si>
  <si>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</si>
  <si>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</si>
  <si>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</si>
  <si>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</si>
  <si>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</si>
  <si>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Jan 2028</t>
  </si>
  <si>
    <t xml:space="preserve">Feb 2028</t>
  </si>
  <si>
    <t xml:space="preserve">24-Mo Total</t>
  </si>
  <si>
    <t xml:space="preserve">SUBSCRIBER METRICS</t>
  </si>
  <si>
    <t xml:space="preserve">New Paid Subscribers</t>
  </si>
  <si>
    <t xml:space="preserve">Churned Subscribers</t>
  </si>
  <si>
    <t xml:space="preserve">Total Paid Subscribers</t>
  </si>
  <si>
    <t xml:space="preserve">RC Reimbursed Users</t>
  </si>
  <si>
    <t xml:space="preserve">IEPClarity New Purchases</t>
  </si>
  <si>
    <t xml:space="preserve">B2B Provider Listings</t>
  </si>
  <si>
    <t xml:space="preserve">REVENUE</t>
  </si>
  <si>
    <t xml:space="preserve">Consumer Subscription Revenue</t>
  </si>
  <si>
    <t xml:space="preserve">RC Reimbursement Revenue</t>
  </si>
  <si>
    <t xml:space="preserve">IEPClarity Revenue</t>
  </si>
  <si>
    <t xml:space="preserve">B2B Directory Revenue</t>
  </si>
  <si>
    <t xml:space="preserve">TOTAL REVENUE</t>
  </si>
  <si>
    <t xml:space="preserve">COSTS</t>
  </si>
  <si>
    <t xml:space="preserve">AI API Costs (Claude)</t>
  </si>
  <si>
    <t xml:space="preserve">Infrastructure (Vercel/Supabase)</t>
  </si>
  <si>
    <t xml:space="preserve">SMS Costs (Twilio)</t>
  </si>
  <si>
    <t xml:space="preserve">Domain + SaaS Tools</t>
  </si>
  <si>
    <t xml:space="preserve">Marketing</t>
  </si>
  <si>
    <t xml:space="preserve">KB Maintenance + Content</t>
  </si>
  <si>
    <t xml:space="preserve">Legal/Compliance</t>
  </si>
  <si>
    <t xml:space="preserve">Founder Salary</t>
  </si>
  <si>
    <t xml:space="preserve">TOTAL COSTS</t>
  </si>
  <si>
    <t xml:space="preserve">PROFITABILITY</t>
  </si>
  <si>
    <t xml:space="preserve">NET INCOME (incl founder comp)</t>
  </si>
  <si>
    <t xml:space="preserve">Gross Margin %</t>
  </si>
  <si>
    <t xml:space="preserve">Cumulative P&amp;L</t>
  </si>
  <si>
    <t xml:space="preserve">WAYPOINT UNIT ECONOMICS</t>
  </si>
  <si>
    <t xml:space="preserve">Metric</t>
  </si>
  <si>
    <t xml:space="preserve">Consumer (Nav)</t>
  </si>
  <si>
    <t xml:space="preserve">Consumer (Pro)</t>
  </si>
  <si>
    <t xml:space="preserve">RC Reimbursed</t>
  </si>
  <si>
    <t xml:space="preserve">Notes</t>
  </si>
  <si>
    <t xml:space="preserve">Monthly Revenue / User</t>
  </si>
  <si>
    <t xml:space="preserve">$9.99</t>
  </si>
  <si>
    <t xml:space="preserve">$19.99</t>
  </si>
  <si>
    <t xml:space="preserve">$100.00</t>
  </si>
  <si>
    <t xml:space="preserve">AI API Cost / User / Mo</t>
  </si>
  <si>
    <t xml:space="preserve">$1.25</t>
  </si>
  <si>
    <t xml:space="preserve">$1.75</t>
  </si>
  <si>
    <t xml:space="preserve">Conservative buffer</t>
  </si>
  <si>
    <t xml:space="preserve">Infrastructure / User / Mo</t>
  </si>
  <si>
    <t xml:space="preserve">$0.20</t>
  </si>
  <si>
    <t xml:space="preserve">$0.25</t>
  </si>
  <si>
    <t xml:space="preserve">SMS / User / Mo</t>
  </si>
  <si>
    <t xml:space="preserve">$0.12</t>
  </si>
  <si>
    <t xml:space="preserve">Total Variable Cost / User / Mo</t>
  </si>
  <si>
    <t xml:space="preserve">$1.57</t>
  </si>
  <si>
    <t xml:space="preserve">$2.12</t>
  </si>
  <si>
    <t xml:space="preserve">Gross Profit / User / Mo</t>
  </si>
  <si>
    <t xml:space="preserve">$8.42</t>
  </si>
  <si>
    <t xml:space="preserve">$17.87</t>
  </si>
  <si>
    <t xml:space="preserve">$98.43</t>
  </si>
  <si>
    <t xml:space="preserve">Gross Margin</t>
  </si>
  <si>
    <t xml:space="preserve">84.3%</t>
  </si>
  <si>
    <t xml:space="preserve">89.4%</t>
  </si>
  <si>
    <t xml:space="preserve">98.4%</t>
  </si>
  <si>
    <t xml:space="preserve">Customer Acquisition Cost (CAC)</t>
  </si>
  <si>
    <t xml:space="preserve">$20-40</t>
  </si>
  <si>
    <t xml:space="preserve">~$0</t>
  </si>
  <si>
    <t xml:space="preserve">Conservative</t>
  </si>
  <si>
    <t xml:space="preserve">Monthly Churn Rate</t>
  </si>
  <si>
    <t xml:space="preserve">7.0%</t>
  </si>
  <si>
    <t xml:space="preserve">5.0%</t>
  </si>
  <si>
    <t xml:space="preserve">3.0%</t>
  </si>
  <si>
    <t xml:space="preserve">7% pre-PMF</t>
  </si>
  <si>
    <t xml:space="preserve">Avg Customer Lifetime (months)</t>
  </si>
  <si>
    <t xml:space="preserve">14</t>
  </si>
  <si>
    <t xml:space="preserve">20</t>
  </si>
  <si>
    <t xml:space="preserve">33</t>
  </si>
  <si>
    <t xml:space="preserve">Lifetime Value (LTV)</t>
  </si>
  <si>
    <t xml:space="preserve">$118</t>
  </si>
  <si>
    <t xml:space="preserve">$357</t>
  </si>
  <si>
    <t xml:space="preserve">$3,248</t>
  </si>
  <si>
    <t xml:space="preserve">LTV / CAC Ratio</t>
  </si>
  <si>
    <t xml:space="preserve">3-6x</t>
  </si>
  <si>
    <t xml:space="preserve">9-18x</t>
  </si>
  <si>
    <t xml:space="preserve">∞</t>
  </si>
  <si>
    <t xml:space="preserve">Months to Recover CAC</t>
  </si>
  <si>
    <t xml:space="preserve">2-5</t>
  </si>
  <si>
    <t xml:space="preserve">1-2</t>
  </si>
  <si>
    <t xml:space="preserve">0</t>
  </si>
  <si>
    <t xml:space="preserve">SCENARIO ANALYSIS — NOW INCLUDES FOUNDER COMP</t>
  </si>
  <si>
    <t xml:space="preserve">All scenarios include $2-4K/mo founder salary. Default = Conservative.</t>
  </si>
  <si>
    <t xml:space="preserve">Conservative
(DEFAULT)</t>
  </si>
  <si>
    <t xml:space="preserve">Base Case</t>
  </si>
  <si>
    <t xml:space="preserve">Optimistic</t>
  </si>
  <si>
    <t xml:space="preserve">Key Driver</t>
  </si>
  <si>
    <t xml:space="preserve">24-MONTH OUTCOMES (incl founder salary)</t>
  </si>
  <si>
    <t xml:space="preserve">Paid subscribers (Mo 24)</t>
  </si>
  <si>
    <t xml:space="preserve">145</t>
  </si>
  <si>
    <t xml:space="preserve">300</t>
  </si>
  <si>
    <t xml:space="preserve">700</t>
  </si>
  <si>
    <t xml:space="preserve">RC reimbursed users (Mo 24)</t>
  </si>
  <si>
    <t xml:space="preserve">80</t>
  </si>
  <si>
    <t xml:space="preserve">125</t>
  </si>
  <si>
    <t xml:space="preserve">200</t>
  </si>
  <si>
    <t xml:space="preserve">Monthly revenue (Mo 24)</t>
  </si>
  <si>
    <t xml:space="preserve">$12,386</t>
  </si>
  <si>
    <t xml:space="preserve">$18,000</t>
  </si>
  <si>
    <t xml:space="preserve">$40,000</t>
  </si>
  <si>
    <t xml:space="preserve">Annual run rate (Mo 24)</t>
  </si>
  <si>
    <t xml:space="preserve">$148,632</t>
  </si>
  <si>
    <t xml:space="preserve">$216,000</t>
  </si>
  <si>
    <t xml:space="preserve">$480,000</t>
  </si>
  <si>
    <t xml:space="preserve">24-mo total revenue</t>
  </si>
  <si>
    <t xml:space="preserve">$116,171</t>
  </si>
  <si>
    <t xml:space="preserve">$120,000</t>
  </si>
  <si>
    <t xml:space="preserve">$280,000</t>
  </si>
  <si>
    <t xml:space="preserve">24-mo total costs (incl salary)</t>
  </si>
  <si>
    <t xml:space="preserve">$146,492</t>
  </si>
  <si>
    <t xml:space="preserve">$130,000</t>
  </si>
  <si>
    <t xml:space="preserve">$150,000</t>
  </si>
  <si>
    <t xml:space="preserve">Salary + KB = major line items</t>
  </si>
  <si>
    <t xml:space="preserve">24-mo net income</t>
  </si>
  <si>
    <t xml:space="preserve">$-30,321</t>
  </si>
  <si>
    <t xml:space="preserve">($10,000)</t>
  </si>
  <si>
    <t xml:space="preserve">Base case now negative with salary!</t>
  </si>
  <si>
    <t xml:space="preserve">Max cash needed (trough)</t>
  </si>
  <si>
    <t xml:space="preserve">$12,000</t>
  </si>
  <si>
    <t xml:space="preserve">$8,000</t>
  </si>
  <si>
    <t xml:space="preserve">Personal investment required</t>
  </si>
  <si>
    <t xml:space="preserve">BREAKEVEN (honest, with founder comp)</t>
  </si>
  <si>
    <t xml:space="preserve">Month of first profitability</t>
  </si>
  <si>
    <t xml:space="preserve">Month 16</t>
  </si>
  <si>
    <t xml:space="preserve">Month 14</t>
  </si>
  <si>
    <t xml:space="preserve">Month 6</t>
  </si>
  <si>
    <t xml:space="preserve">Salary pushes breakeven later</t>
  </si>
  <si>
    <t xml:space="preserve">Personal investment needed</t>
  </si>
  <si>
    <t xml:space="preserve">$8-12K</t>
  </si>
  <si>
    <t xml:space="preserve">$15-18K</t>
  </si>
  <si>
    <t xml:space="preserve">$5-8K</t>
  </si>
  <si>
    <t xml:space="preserve">All scenarios need some seed cash</t>
  </si>
  <si>
    <t xml:space="preserve">External funding needed?</t>
  </si>
  <si>
    <t xml:space="preserve">No</t>
  </si>
  <si>
    <t xml:space="preserve">Bootstrappable with personal funds</t>
  </si>
  <si>
    <t xml:space="preserve">Q1 2026
(Mar-May)</t>
  </si>
  <si>
    <t xml:space="preserve">Q2 2026
(Jun-Aug)</t>
  </si>
  <si>
    <t xml:space="preserve">Q3 2026
(Sep-Nov)</t>
  </si>
  <si>
    <t xml:space="preserve">Q4 2026
(Dec-Feb)</t>
  </si>
  <si>
    <t xml:space="preserve">Q1 2027
(Mar-May)</t>
  </si>
  <si>
    <t xml:space="preserve">Q2 2027
(Jun-Aug)</t>
  </si>
  <si>
    <t xml:space="preserve">Q3 2027
(Sep-Nov)</t>
  </si>
  <si>
    <t xml:space="preserve">Q4 2027
(Dec-Feb)</t>
  </si>
  <si>
    <t xml:space="preserve">QUARTERLY SUMMARY (incl salary)</t>
  </si>
  <si>
    <t xml:space="preserve">Paid Subscribers (end)</t>
  </si>
  <si>
    <t xml:space="preserve">Total Users (end)</t>
  </si>
  <si>
    <t xml:space="preserve">Quarterly Revenue</t>
  </si>
  <si>
    <t xml:space="preserve">Quarterly Costs (incl salary)</t>
  </si>
  <si>
    <t xml:space="preserve">Quarterly Net Income</t>
  </si>
  <si>
    <t xml:space="preserve">Cumulative Net Income</t>
  </si>
  <si>
    <t xml:space="preserve">MAX CASH TROUGH</t>
  </si>
  <si>
    <t xml:space="preserve">Peak cash need: $47,602 (Q6)</t>
  </si>
  <si>
    <t xml:space="preserve">This is the personal investment required to reach profitability.</t>
  </si>
  <si>
    <t xml:space="preserve">SENSITIVITY ANALYSIS — IMPACT ON 24-MO NET INCOME (incl founder comp)</t>
  </si>
  <si>
    <t xml:space="preserve">Change ONE variable, hold others at conservative defaults. Founder salary included in all scenarios.</t>
  </si>
  <si>
    <t xml:space="preserve">Mo 1-6 Growth Rate</t>
  </si>
  <si>
    <t xml:space="preserve">Input Value</t>
  </si>
  <si>
    <t xml:space="preserve">24-Mo Net Income</t>
  </si>
  <si>
    <t xml:space="preserve">24-Mo Total Revenue</t>
  </si>
  <si>
    <t xml:space="preserve">Month 24 Subscribers</t>
  </si>
  <si>
    <t xml:space="preserve">Δ vs Default</t>
  </si>
  <si>
    <t xml:space="preserve">Mo 7-12 Growth Rate</t>
  </si>
  <si>
    <t xml:space="preserve">Month 1 New Subscribers</t>
  </si>
  <si>
    <t xml:space="preserve">Navigator Price ($/mo)</t>
  </si>
  <si>
    <t xml:space="preserve">RC Pilot Start Month</t>
  </si>
  <si>
    <t xml:space="preserve">AI API Cost ($/user/mo)</t>
  </si>
  <si>
    <t xml:space="preserve">Organic Sub Ceiling</t>
  </si>
  <si>
    <t xml:space="preserve">Founder Salary Mo 1-6</t>
  </si>
  <si>
    <t xml:space="preserve">SENSITIVITY RANKING</t>
  </si>
  <si>
    <t xml:space="preserve">Rank</t>
  </si>
  <si>
    <t xml:space="preserve">Variable</t>
  </si>
  <si>
    <t xml:space="preserve">Worst Net ($)</t>
  </si>
  <si>
    <t xml:space="preserve">Best Net ($)</t>
  </si>
  <si>
    <t xml:space="preserve">Swing ($)</t>
  </si>
  <si>
    <t xml:space="preserve">• All scenarios include founder salary ($2K→$3K→$4K/mo). Model is honest about true breakeven.</t>
  </si>
  <si>
    <t xml:space="preserve">• Subscriber growth uses logistic cap (default 400) to model organic channel saturation.</t>
  </si>
  <si>
    <t xml:space="preserve">• IEPClarity revenue is now clean monthly volume (not erratic delta calculation).</t>
  </si>
  <si>
    <t xml:space="preserve">• RC Pilot timing remains the #1 sensitivity — validate this assumption first.</t>
  </si>
  <si>
    <t xml:space="preserve">• With founder comp, conservative case still reaches profitability but later (Mo 16 vs Mo 8).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</si>
</sst>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\$#,##0"/>
    <numFmt numFmtId="168" formatCode="#,##0"/>
    <numFmt numFmtId="169" formatCode="\$#,##0;&quot;($&quot;#,##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41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0891B2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i val="true"/>
      <sz val="9"/>
      <color rgb="FFDC2626"/>
      <name val="Arial"/>
      <family val="0"/>
      <charset val="1"/>
    </font>
    <font>
      <i val="true"/>
      <sz val="9"/>
      <color rgb="FF10B981"/>
      <name val="Arial"/>
      <family val="0"/>
      <charset val="1"/>
    </font>
    <font>
      <sz val="9"/>
      <color rgb="FF64748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2E8F0"/>
        <bgColor rgb="FFE6F7EF"/>
      </patternFill>
    </fill>
    <fill>
      <patternFill patternType="solid">
        <fgColor rgb="FFFFFFCC"/>
        <bgColor rgb="FFF0FDF4"/>
      </patternFill>
    </fill>
    <fill>
      <patternFill patternType="solid">
        <fgColor rgb="FF1B2A4A"/>
        <bgColor rgb="FF334155"/>
      </patternFill>
    </fill>
    <fill>
      <patternFill patternType="solid">
        <fgColor rgb="FF10B981"/>
        <bgColor rgb="FF33CCCC"/>
      </patternFill>
    </fill>
    <fill>
      <patternFill patternType="solid">
        <fgColor rgb="FFE6F7EF"/>
        <bgColor rgb="FFF1F5F9"/>
      </patternFill>
    </fill>
    <fill>
      <patternFill patternType="solid">
        <fgColor rgb="FFF1F5F9"/>
        <bgColor rgb="FFF0FDF4"/>
      </patternFill>
    </fill>
    <fill>
      <patternFill patternType="solid">
        <fgColor rgb="FFBBF7D0"/>
        <bgColor rgb="FFE6F7EF"/>
      </patternFill>
    </fill>
    <fill>
      <patternFill patternType="solid">
        <fgColor rgb="FFFEE2E2"/>
        <bgColor rgb="FFE2E8F0"/>
      </patternFill>
    </fill>
    <fill>
      <patternFill patternType="solid">
        <fgColor rgb="FFF0FDF4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E2E8F0"/>
      <rgbColor rgb="FF808080"/>
      <rgbColor rgb="FF8B5CF6"/>
      <rgbColor rgb="FF993366"/>
      <rgbColor rgb="FFFFFFCC"/>
      <rgbColor rgb="FFE6F7E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BBF7D0"/>
      <rgbColor rgb="FFF1F5F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D97706"/>
      <rgbColor rgb="FFF97316"/>
      <rgbColor rgb="FF64748B"/>
      <rgbColor rgb="FF969696"/>
      <rgbColor rgb="FF1B2A4A"/>
      <rgbColor rgb="FF10B981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C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9.99</v>
      </c>
    </row>
    <row r="6" customFormat="false" ht="15" hidden="false" customHeight="false" outlineLevel="0" collapsed="false">
      <c r="A6" s="5" t="s">
        <v>4</v>
      </c>
      <c r="B6" s="6" t="n">
        <v>19.99</v>
      </c>
    </row>
    <row r="7" customFormat="false" ht="15" hidden="false" customHeight="false" outlineLevel="0" collapsed="false">
      <c r="A7" s="5" t="s">
        <v>5</v>
      </c>
      <c r="B7" s="7" t="n">
        <v>0.25</v>
      </c>
    </row>
    <row r="8" customFormat="false" ht="15" hidden="false" customHeight="false" outlineLevel="0" collapsed="false">
      <c r="A8" s="5" t="s">
        <v>6</v>
      </c>
      <c r="B8" s="8" t="n">
        <v>39</v>
      </c>
      <c r="C8" s="9" t="s">
        <v>7</v>
      </c>
    </row>
    <row r="9" customFormat="false" ht="15" hidden="false" customHeight="false" outlineLevel="0" collapsed="false">
      <c r="A9" s="5" t="s">
        <v>8</v>
      </c>
      <c r="B9" s="8" t="n">
        <v>100</v>
      </c>
      <c r="C9" s="9" t="s">
        <v>9</v>
      </c>
    </row>
    <row r="10" customFormat="false" ht="15" hidden="false" customHeight="false" outlineLevel="0" collapsed="false">
      <c r="A10" s="5" t="s">
        <v>10</v>
      </c>
      <c r="B10" s="8" t="n">
        <v>100</v>
      </c>
    </row>
    <row r="12" customFormat="false" ht="15" hidden="false" customHeight="false" outlineLevel="0" collapsed="false">
      <c r="A12" s="3" t="s">
        <v>11</v>
      </c>
      <c r="B12" s="4"/>
      <c r="C12" s="4"/>
    </row>
    <row r="13" customFormat="false" ht="15" hidden="false" customHeight="false" outlineLevel="0" collapsed="false">
      <c r="A13" s="5" t="s">
        <v>12</v>
      </c>
      <c r="B13" s="10" t="n">
        <v>3</v>
      </c>
      <c r="C13" s="9" t="s">
        <v>13</v>
      </c>
    </row>
    <row r="14" customFormat="false" ht="15" hidden="false" customHeight="false" outlineLevel="0" collapsed="false">
      <c r="A14" s="5" t="s">
        <v>14</v>
      </c>
      <c r="B14" s="7" t="n">
        <v>0.25</v>
      </c>
      <c r="C14" s="9" t="s">
        <v>15</v>
      </c>
    </row>
    <row r="15" customFormat="false" ht="15" hidden="false" customHeight="false" outlineLevel="0" collapsed="false">
      <c r="A15" s="5" t="s">
        <v>16</v>
      </c>
      <c r="B15" s="7" t="n">
        <v>0.15</v>
      </c>
      <c r="C15" s="9" t="s">
        <v>17</v>
      </c>
    </row>
    <row r="16" customFormat="false" ht="15" hidden="false" customHeight="false" outlineLevel="0" collapsed="false">
      <c r="A16" s="5" t="s">
        <v>18</v>
      </c>
      <c r="B16" s="7" t="n">
        <v>0.1</v>
      </c>
    </row>
    <row r="17" customFormat="false" ht="15" hidden="false" customHeight="false" outlineLevel="0" collapsed="false">
      <c r="A17" s="5" t="s">
        <v>19</v>
      </c>
      <c r="B17" s="7" t="n">
        <v>0.08</v>
      </c>
    </row>
    <row r="18" customFormat="false" ht="15" hidden="false" customHeight="false" outlineLevel="0" collapsed="false">
      <c r="A18" s="5" t="s">
        <v>20</v>
      </c>
      <c r="B18" s="7" t="n">
        <v>0.07</v>
      </c>
      <c r="C18" s="9" t="s">
        <v>21</v>
      </c>
    </row>
    <row r="19" customFormat="false" ht="15" hidden="false" customHeight="false" outlineLevel="0" collapsed="false">
      <c r="A19" s="5" t="s">
        <v>22</v>
      </c>
      <c r="B19" s="10" t="n">
        <v>400</v>
      </c>
      <c r="C19" s="9" t="s">
        <v>23</v>
      </c>
    </row>
    <row r="21" customFormat="false" ht="15" hidden="false" customHeight="false" outlineLevel="0" collapsed="false">
      <c r="A21" s="3" t="s">
        <v>24</v>
      </c>
      <c r="B21" s="4"/>
      <c r="C21" s="4"/>
    </row>
    <row r="22" customFormat="false" ht="15" hidden="false" customHeight="false" outlineLevel="0" collapsed="false">
      <c r="A22" s="5" t="s">
        <v>25</v>
      </c>
      <c r="B22" s="10" t="n">
        <v>9</v>
      </c>
      <c r="C22" s="9" t="s">
        <v>26</v>
      </c>
    </row>
    <row r="23" customFormat="false" ht="15" hidden="false" customHeight="false" outlineLevel="0" collapsed="false">
      <c r="A23" s="5" t="s">
        <v>27</v>
      </c>
      <c r="B23" s="10" t="n">
        <v>5</v>
      </c>
      <c r="C23" s="9" t="s">
        <v>28</v>
      </c>
    </row>
    <row r="24" customFormat="false" ht="15" hidden="false" customHeight="false" outlineLevel="0" collapsed="false">
      <c r="A24" s="5" t="s">
        <v>29</v>
      </c>
      <c r="B24" s="10" t="n">
        <v>3</v>
      </c>
    </row>
    <row r="25" customFormat="false" ht="15" hidden="false" customHeight="false" outlineLevel="0" collapsed="false">
      <c r="A25" s="5" t="s">
        <v>30</v>
      </c>
      <c r="B25" s="10" t="n">
        <v>5</v>
      </c>
    </row>
    <row r="27" customFormat="false" ht="15" hidden="false" customHeight="false" outlineLevel="0" collapsed="false">
      <c r="A27" s="3" t="s">
        <v>31</v>
      </c>
      <c r="B27" s="4"/>
      <c r="C27" s="4"/>
    </row>
    <row r="28" customFormat="false" ht="15" hidden="false" customHeight="false" outlineLevel="0" collapsed="false">
      <c r="A28" s="5" t="s">
        <v>32</v>
      </c>
      <c r="B28" s="10" t="n">
        <v>3</v>
      </c>
    </row>
    <row r="29" customFormat="false" ht="15" hidden="false" customHeight="false" outlineLevel="0" collapsed="false">
      <c r="A29" s="5" t="s">
        <v>33</v>
      </c>
      <c r="B29" s="10" t="n">
        <v>3</v>
      </c>
      <c r="C29" s="9" t="s">
        <v>34</v>
      </c>
    </row>
    <row r="30" customFormat="false" ht="15" hidden="false" customHeight="false" outlineLevel="0" collapsed="false">
      <c r="A30" s="5" t="s">
        <v>35</v>
      </c>
      <c r="B30" s="7" t="n">
        <v>0.2</v>
      </c>
      <c r="C30" s="9" t="s">
        <v>36</v>
      </c>
    </row>
    <row r="31" customFormat="false" ht="15" hidden="false" customHeight="false" outlineLevel="0" collapsed="false">
      <c r="A31" s="5" t="s">
        <v>37</v>
      </c>
      <c r="B31" s="7" t="n">
        <v>0.05</v>
      </c>
      <c r="C31" s="9" t="s">
        <v>38</v>
      </c>
    </row>
    <row r="33" customFormat="false" ht="15" hidden="false" customHeight="false" outlineLevel="0" collapsed="false">
      <c r="A33" s="3" t="s">
        <v>39</v>
      </c>
      <c r="B33" s="4"/>
      <c r="C33" s="4"/>
    </row>
    <row r="34" customFormat="false" ht="15" hidden="false" customHeight="false" outlineLevel="0" collapsed="false">
      <c r="A34" s="5" t="s">
        <v>40</v>
      </c>
      <c r="B34" s="6" t="n">
        <v>1.25</v>
      </c>
      <c r="C34" s="9" t="s">
        <v>41</v>
      </c>
    </row>
    <row r="35" customFormat="false" ht="15" hidden="false" customHeight="false" outlineLevel="0" collapsed="false">
      <c r="A35" s="5" t="s">
        <v>42</v>
      </c>
      <c r="B35" s="8" t="n">
        <v>75</v>
      </c>
    </row>
    <row r="36" customFormat="false" ht="15" hidden="false" customHeight="false" outlineLevel="0" collapsed="false">
      <c r="A36" s="5" t="s">
        <v>43</v>
      </c>
      <c r="B36" s="6" t="n">
        <v>0.2</v>
      </c>
    </row>
    <row r="37" customFormat="false" ht="15" hidden="false" customHeight="false" outlineLevel="0" collapsed="false">
      <c r="A37" s="5" t="s">
        <v>44</v>
      </c>
      <c r="B37" s="6" t="n">
        <v>0.12</v>
      </c>
    </row>
    <row r="38" customFormat="false" ht="15" hidden="false" customHeight="false" outlineLevel="0" collapsed="false">
      <c r="A38" s="5" t="s">
        <v>45</v>
      </c>
      <c r="B38" s="8" t="n">
        <v>60</v>
      </c>
    </row>
    <row r="39" customFormat="false" ht="15" hidden="false" customHeight="false" outlineLevel="0" collapsed="false">
      <c r="A39" s="5" t="s">
        <v>46</v>
      </c>
      <c r="B39" s="8" t="n">
        <v>150</v>
      </c>
    </row>
    <row r="40" customFormat="false" ht="15" hidden="false" customHeight="false" outlineLevel="0" collapsed="false">
      <c r="A40" s="5" t="s">
        <v>47</v>
      </c>
      <c r="B40" s="8" t="n">
        <v>400</v>
      </c>
    </row>
    <row r="41" customFormat="false" ht="15" hidden="false" customHeight="false" outlineLevel="0" collapsed="false">
      <c r="A41" s="5" t="s">
        <v>48</v>
      </c>
      <c r="B41" s="8" t="n">
        <v>600</v>
      </c>
    </row>
    <row r="42" customFormat="false" ht="15" hidden="false" customHeight="false" outlineLevel="0" collapsed="false">
      <c r="A42" s="5" t="s">
        <v>49</v>
      </c>
      <c r="B42" s="8" t="n">
        <v>2500</v>
      </c>
      <c r="C42" s="9" t="s">
        <v>50</v>
      </c>
    </row>
    <row r="43" customFormat="false" ht="15" hidden="false" customHeight="false" outlineLevel="0" collapsed="false">
      <c r="A43" s="5" t="s">
        <v>51</v>
      </c>
      <c r="B43" s="8" t="n">
        <v>750</v>
      </c>
      <c r="C43" s="9" t="s">
        <v>52</v>
      </c>
    </row>
    <row r="44" customFormat="false" ht="15" hidden="false" customHeight="false" outlineLevel="0" collapsed="false">
      <c r="A44" s="5" t="s">
        <v>53</v>
      </c>
      <c r="B44" s="8" t="n">
        <v>2000</v>
      </c>
      <c r="C44" s="9" t="s">
        <v>54</v>
      </c>
    </row>
    <row r="45" customFormat="false" ht="15" hidden="false" customHeight="false" outlineLevel="0" collapsed="false">
      <c r="A45" s="5" t="s">
        <v>55</v>
      </c>
      <c r="B45" s="8" t="n">
        <v>3000</v>
      </c>
    </row>
    <row r="46" customFormat="false" ht="15" hidden="false" customHeight="false" outlineLevel="0" collapsed="false">
      <c r="A46" s="5" t="s">
        <v>56</v>
      </c>
      <c r="B46" s="8" t="n">
        <v>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5" min="2" style="0" width="12"/>
    <col collapsed="false" customWidth="true" hidden="false" outlineLevel="0" max="26" min="26" style="0" width="14"/>
  </cols>
  <sheetData>
    <row r="1" customFormat="false" ht="15" hidden="false" customHeight="false" outlineLevel="0" collapsed="false">
      <c r="B1" s="11" t="s">
        <v>57</v>
      </c>
      <c r="C1" s="11" t="s">
        <v>58</v>
      </c>
      <c r="D1" s="11" t="s">
        <v>59</v>
      </c>
      <c r="E1" s="11" t="s">
        <v>60</v>
      </c>
      <c r="F1" s="11" t="s">
        <v>61</v>
      </c>
      <c r="G1" s="11" t="s">
        <v>62</v>
      </c>
      <c r="H1" s="11" t="s">
        <v>63</v>
      </c>
      <c r="I1" s="11" t="s">
        <v>64</v>
      </c>
      <c r="J1" s="11" t="s">
        <v>65</v>
      </c>
      <c r="K1" s="11" t="s">
        <v>66</v>
      </c>
      <c r="L1" s="11" t="s">
        <v>67</v>
      </c>
      <c r="M1" s="11" t="s">
        <v>68</v>
      </c>
      <c r="N1" s="11" t="s">
        <v>69</v>
      </c>
      <c r="O1" s="11" t="s">
        <v>70</v>
      </c>
      <c r="P1" s="11" t="s">
        <v>71</v>
      </c>
      <c r="Q1" s="11" t="s">
        <v>72</v>
      </c>
      <c r="R1" s="11" t="s">
        <v>73</v>
      </c>
      <c r="S1" s="11" t="s">
        <v>74</v>
      </c>
      <c r="T1" s="11" t="s">
        <v>75</v>
      </c>
      <c r="U1" s="11" t="s">
        <v>76</v>
      </c>
      <c r="V1" s="11" t="s">
        <v>77</v>
      </c>
      <c r="W1" s="11" t="s">
        <v>78</v>
      </c>
      <c r="X1" s="11" t="s">
        <v>79</v>
      </c>
      <c r="Y1" s="11" t="s">
        <v>80</v>
      </c>
      <c r="Z1" s="12" t="s">
        <v>81</v>
      </c>
    </row>
    <row r="2" customFormat="false" ht="15" hidden="false" customHeight="false" outlineLevel="0" collapsed="false">
      <c r="A2" s="3" t="s">
        <v>82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" hidden="false" customHeight="false" outlineLevel="0" collapsed="false">
      <c r="A3" s="13" t="s">
        <v>83</v>
      </c>
      <c r="B3" s="14" t="n">
        <v>3</v>
      </c>
      <c r="C3" s="14" t="n">
        <v>4</v>
      </c>
      <c r="D3" s="14" t="n">
        <v>5</v>
      </c>
      <c r="E3" s="14" t="n">
        <v>6</v>
      </c>
      <c r="F3" s="14" t="n">
        <v>7</v>
      </c>
      <c r="G3" s="14" t="n">
        <v>9</v>
      </c>
      <c r="H3" s="14" t="n">
        <v>7</v>
      </c>
      <c r="I3" s="14" t="n">
        <v>8</v>
      </c>
      <c r="J3" s="14" t="n">
        <v>9</v>
      </c>
      <c r="K3" s="14" t="n">
        <v>11</v>
      </c>
      <c r="L3" s="14" t="n">
        <v>12</v>
      </c>
      <c r="M3" s="14" t="n">
        <v>14</v>
      </c>
      <c r="N3" s="14" t="n">
        <v>9</v>
      </c>
      <c r="O3" s="14" t="n">
        <v>10</v>
      </c>
      <c r="P3" s="14" t="n">
        <v>11</v>
      </c>
      <c r="Q3" s="14" t="n">
        <v>13</v>
      </c>
      <c r="R3" s="14" t="n">
        <v>14</v>
      </c>
      <c r="S3" s="14" t="n">
        <v>15</v>
      </c>
      <c r="T3" s="14" t="n">
        <v>12</v>
      </c>
      <c r="U3" s="14" t="n">
        <v>13</v>
      </c>
      <c r="V3" s="14" t="n">
        <v>14</v>
      </c>
      <c r="W3" s="14" t="n">
        <v>15</v>
      </c>
      <c r="X3" s="14" t="n">
        <v>16</v>
      </c>
      <c r="Y3" s="14" t="n">
        <v>18</v>
      </c>
      <c r="Z3" s="15" t="n">
        <f aca="false">SUM(B3:Y3)</f>
        <v>255</v>
      </c>
    </row>
    <row r="4" customFormat="false" ht="15" hidden="false" customHeight="false" outlineLevel="0" collapsed="false">
      <c r="A4" s="13" t="s">
        <v>84</v>
      </c>
      <c r="B4" s="14" t="n">
        <v>0</v>
      </c>
      <c r="C4" s="14" t="n">
        <v>0</v>
      </c>
      <c r="D4" s="14" t="n">
        <v>0</v>
      </c>
      <c r="E4" s="14" t="n">
        <v>1</v>
      </c>
      <c r="F4" s="14" t="n">
        <v>1</v>
      </c>
      <c r="G4" s="14" t="n">
        <v>2</v>
      </c>
      <c r="H4" s="14" t="n">
        <v>2</v>
      </c>
      <c r="I4" s="14" t="n">
        <v>2</v>
      </c>
      <c r="J4" s="14" t="n">
        <v>3</v>
      </c>
      <c r="K4" s="14" t="n">
        <v>3</v>
      </c>
      <c r="L4" s="14" t="n">
        <v>4</v>
      </c>
      <c r="M4" s="14" t="n">
        <v>4</v>
      </c>
      <c r="N4" s="14" t="n">
        <v>5</v>
      </c>
      <c r="O4" s="14" t="n">
        <v>5</v>
      </c>
      <c r="P4" s="14" t="n">
        <v>6</v>
      </c>
      <c r="Q4" s="14" t="n">
        <v>6</v>
      </c>
      <c r="R4" s="14" t="n">
        <v>7</v>
      </c>
      <c r="S4" s="14" t="n">
        <v>7</v>
      </c>
      <c r="T4" s="14" t="n">
        <v>8</v>
      </c>
      <c r="U4" s="14" t="n">
        <v>8</v>
      </c>
      <c r="V4" s="14" t="n">
        <v>8</v>
      </c>
      <c r="W4" s="14" t="n">
        <v>9</v>
      </c>
      <c r="X4" s="14" t="n">
        <v>9</v>
      </c>
      <c r="Y4" s="14" t="n">
        <v>10</v>
      </c>
      <c r="Z4" s="15" t="n">
        <f aca="false">SUM(B4:Y4)</f>
        <v>110</v>
      </c>
    </row>
    <row r="5" customFormat="false" ht="15" hidden="false" customHeight="false" outlineLevel="0" collapsed="false">
      <c r="A5" s="5" t="s">
        <v>85</v>
      </c>
      <c r="B5" s="14" t="n">
        <v>3</v>
      </c>
      <c r="C5" s="14" t="n">
        <v>7</v>
      </c>
      <c r="D5" s="14" t="n">
        <v>12</v>
      </c>
      <c r="E5" s="14" t="n">
        <v>17</v>
      </c>
      <c r="F5" s="14" t="n">
        <v>23</v>
      </c>
      <c r="G5" s="14" t="n">
        <v>30</v>
      </c>
      <c r="H5" s="14" t="n">
        <v>35</v>
      </c>
      <c r="I5" s="14" t="n">
        <v>41</v>
      </c>
      <c r="J5" s="14" t="n">
        <v>47</v>
      </c>
      <c r="K5" s="14" t="n">
        <v>55</v>
      </c>
      <c r="L5" s="14" t="n">
        <v>63</v>
      </c>
      <c r="M5" s="14" t="n">
        <v>73</v>
      </c>
      <c r="N5" s="14" t="n">
        <v>77</v>
      </c>
      <c r="O5" s="14" t="n">
        <v>82</v>
      </c>
      <c r="P5" s="14" t="n">
        <v>87</v>
      </c>
      <c r="Q5" s="14" t="n">
        <v>94</v>
      </c>
      <c r="R5" s="14" t="n">
        <v>101</v>
      </c>
      <c r="S5" s="14" t="n">
        <v>109</v>
      </c>
      <c r="T5" s="14" t="n">
        <v>113</v>
      </c>
      <c r="U5" s="14" t="n">
        <v>118</v>
      </c>
      <c r="V5" s="14" t="n">
        <v>124</v>
      </c>
      <c r="W5" s="14" t="n">
        <v>130</v>
      </c>
      <c r="X5" s="14" t="n">
        <v>137</v>
      </c>
      <c r="Y5" s="14" t="n">
        <v>145</v>
      </c>
      <c r="Z5" s="15" t="n">
        <f aca="false">Y5</f>
        <v>145</v>
      </c>
    </row>
    <row r="6" customFormat="false" ht="15" hidden="false" customHeight="false" outlineLevel="0" collapsed="false">
      <c r="A6" s="13" t="s">
        <v>86</v>
      </c>
      <c r="B6" s="14" t="n">
        <v>0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5</v>
      </c>
      <c r="K6" s="14" t="n">
        <v>8</v>
      </c>
      <c r="L6" s="14" t="n">
        <v>11</v>
      </c>
      <c r="M6" s="14" t="n">
        <v>14</v>
      </c>
      <c r="N6" s="14" t="n">
        <v>25</v>
      </c>
      <c r="O6" s="14" t="n">
        <v>30</v>
      </c>
      <c r="P6" s="14" t="n">
        <v>35</v>
      </c>
      <c r="Q6" s="14" t="n">
        <v>40</v>
      </c>
      <c r="R6" s="14" t="n">
        <v>45</v>
      </c>
      <c r="S6" s="14" t="n">
        <v>50</v>
      </c>
      <c r="T6" s="14" t="n">
        <v>55</v>
      </c>
      <c r="U6" s="14" t="n">
        <v>60</v>
      </c>
      <c r="V6" s="14" t="n">
        <v>65</v>
      </c>
      <c r="W6" s="14" t="n">
        <v>70</v>
      </c>
      <c r="X6" s="14" t="n">
        <v>75</v>
      </c>
      <c r="Y6" s="14" t="n">
        <v>80</v>
      </c>
      <c r="Z6" s="15" t="n">
        <f aca="false">Y6</f>
        <v>80</v>
      </c>
    </row>
    <row r="7" customFormat="false" ht="15" hidden="false" customHeight="false" outlineLevel="0" collapsed="false">
      <c r="A7" s="13" t="s">
        <v>87</v>
      </c>
      <c r="B7" s="14" t="n">
        <v>0</v>
      </c>
      <c r="C7" s="14" t="n">
        <v>0</v>
      </c>
      <c r="D7" s="14" t="n">
        <v>3</v>
      </c>
      <c r="E7" s="14" t="n">
        <v>4</v>
      </c>
      <c r="F7" s="14" t="n">
        <v>4</v>
      </c>
      <c r="G7" s="14" t="n">
        <v>5</v>
      </c>
      <c r="H7" s="14" t="n">
        <v>6</v>
      </c>
      <c r="I7" s="14" t="n">
        <v>7</v>
      </c>
      <c r="J7" s="14" t="n">
        <v>9</v>
      </c>
      <c r="K7" s="14" t="n">
        <v>11</v>
      </c>
      <c r="L7" s="14" t="n">
        <v>13</v>
      </c>
      <c r="M7" s="14" t="n">
        <v>15</v>
      </c>
      <c r="N7" s="14" t="n">
        <v>19</v>
      </c>
      <c r="O7" s="14" t="n">
        <v>22</v>
      </c>
      <c r="P7" s="14" t="n">
        <v>25</v>
      </c>
      <c r="Q7" s="14" t="n">
        <v>25</v>
      </c>
      <c r="R7" s="14" t="n">
        <v>25</v>
      </c>
      <c r="S7" s="14" t="n">
        <v>25</v>
      </c>
      <c r="T7" s="14" t="n">
        <v>25</v>
      </c>
      <c r="U7" s="14" t="n">
        <v>25</v>
      </c>
      <c r="V7" s="14" t="n">
        <v>25</v>
      </c>
      <c r="W7" s="14" t="n">
        <v>25</v>
      </c>
      <c r="X7" s="14" t="n">
        <v>25</v>
      </c>
      <c r="Y7" s="14" t="n">
        <v>25</v>
      </c>
      <c r="Z7" s="15" t="n">
        <f aca="false">SUM(B7:Y7)</f>
        <v>368</v>
      </c>
    </row>
    <row r="8" customFormat="false" ht="15" hidden="false" customHeight="false" outlineLevel="0" collapsed="false">
      <c r="A8" s="13" t="s">
        <v>88</v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2</v>
      </c>
      <c r="L8" s="14" t="n">
        <v>3</v>
      </c>
      <c r="M8" s="14" t="n">
        <v>4</v>
      </c>
      <c r="N8" s="14" t="n">
        <v>5</v>
      </c>
      <c r="O8" s="14" t="n">
        <v>6</v>
      </c>
      <c r="P8" s="14" t="n">
        <v>7</v>
      </c>
      <c r="Q8" s="14" t="n">
        <v>8</v>
      </c>
      <c r="R8" s="14" t="n">
        <v>9</v>
      </c>
      <c r="S8" s="14" t="n">
        <v>10</v>
      </c>
      <c r="T8" s="14" t="n">
        <v>11</v>
      </c>
      <c r="U8" s="14" t="n">
        <v>12</v>
      </c>
      <c r="V8" s="14" t="n">
        <v>13</v>
      </c>
      <c r="W8" s="14" t="n">
        <v>14</v>
      </c>
      <c r="X8" s="14" t="n">
        <v>15</v>
      </c>
      <c r="Y8" s="14" t="n">
        <v>16</v>
      </c>
      <c r="Z8" s="15" t="n">
        <f aca="false">Y8</f>
        <v>16</v>
      </c>
    </row>
    <row r="10" customFormat="false" ht="15" hidden="false" customHeight="false" outlineLevel="0" collapsed="false">
      <c r="A10" s="3" t="s">
        <v>89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false" outlineLevel="0" collapsed="false">
      <c r="A11" s="13" t="s">
        <v>90</v>
      </c>
      <c r="B11" s="16" t="n">
        <v>37</v>
      </c>
      <c r="C11" s="16" t="n">
        <v>87</v>
      </c>
      <c r="D11" s="16" t="n">
        <v>150</v>
      </c>
      <c r="E11" s="16" t="n">
        <v>212</v>
      </c>
      <c r="F11" s="16" t="n">
        <v>287</v>
      </c>
      <c r="G11" s="16" t="n">
        <v>375</v>
      </c>
      <c r="H11" s="16" t="n">
        <v>437</v>
      </c>
      <c r="I11" s="16" t="n">
        <v>512</v>
      </c>
      <c r="J11" s="16" t="n">
        <v>587</v>
      </c>
      <c r="K11" s="16" t="n">
        <v>687</v>
      </c>
      <c r="L11" s="16" t="n">
        <v>787</v>
      </c>
      <c r="M11" s="16" t="n">
        <v>912</v>
      </c>
      <c r="N11" s="16" t="n">
        <v>962</v>
      </c>
      <c r="O11" s="16" t="n">
        <v>1024</v>
      </c>
      <c r="P11" s="16" t="n">
        <v>1087</v>
      </c>
      <c r="Q11" s="16" t="n">
        <v>1174</v>
      </c>
      <c r="R11" s="16" t="n">
        <v>1261</v>
      </c>
      <c r="S11" s="16" t="n">
        <v>1361</v>
      </c>
      <c r="T11" s="16" t="n">
        <v>1411</v>
      </c>
      <c r="U11" s="16" t="n">
        <v>1474</v>
      </c>
      <c r="V11" s="16" t="n">
        <v>1549</v>
      </c>
      <c r="W11" s="16" t="n">
        <v>1624</v>
      </c>
      <c r="X11" s="16" t="n">
        <v>1711</v>
      </c>
      <c r="Y11" s="16" t="n">
        <v>1811</v>
      </c>
      <c r="Z11" s="17" t="n">
        <f aca="false">SUM(B11:Y11)</f>
        <v>21519</v>
      </c>
    </row>
    <row r="12" customFormat="false" ht="15" hidden="false" customHeight="false" outlineLevel="0" collapsed="false">
      <c r="A12" s="13" t="s">
        <v>91</v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500</v>
      </c>
      <c r="K12" s="16" t="n">
        <v>800</v>
      </c>
      <c r="L12" s="16" t="n">
        <v>1100</v>
      </c>
      <c r="M12" s="16" t="n">
        <v>1400</v>
      </c>
      <c r="N12" s="16" t="n">
        <v>2500</v>
      </c>
      <c r="O12" s="16" t="n">
        <v>3000</v>
      </c>
      <c r="P12" s="16" t="n">
        <v>3500</v>
      </c>
      <c r="Q12" s="16" t="n">
        <v>4000</v>
      </c>
      <c r="R12" s="16" t="n">
        <v>4500</v>
      </c>
      <c r="S12" s="16" t="n">
        <v>5000</v>
      </c>
      <c r="T12" s="16" t="n">
        <v>5500</v>
      </c>
      <c r="U12" s="16" t="n">
        <v>6000</v>
      </c>
      <c r="V12" s="16" t="n">
        <v>6500</v>
      </c>
      <c r="W12" s="16" t="n">
        <v>7000</v>
      </c>
      <c r="X12" s="16" t="n">
        <v>7500</v>
      </c>
      <c r="Y12" s="16" t="n">
        <v>8000</v>
      </c>
      <c r="Z12" s="17" t="n">
        <f aca="false">SUM(B12:Y12)</f>
        <v>66800</v>
      </c>
    </row>
    <row r="13" customFormat="false" ht="15" hidden="false" customHeight="false" outlineLevel="0" collapsed="false">
      <c r="A13" s="13" t="s">
        <v>92</v>
      </c>
      <c r="B13" s="16" t="n">
        <v>0</v>
      </c>
      <c r="C13" s="16" t="n">
        <v>0</v>
      </c>
      <c r="D13" s="16" t="n">
        <v>117</v>
      </c>
      <c r="E13" s="16" t="n">
        <v>156</v>
      </c>
      <c r="F13" s="16" t="n">
        <v>156</v>
      </c>
      <c r="G13" s="16" t="n">
        <v>195</v>
      </c>
      <c r="H13" s="16" t="n">
        <v>234</v>
      </c>
      <c r="I13" s="16" t="n">
        <v>273</v>
      </c>
      <c r="J13" s="16" t="n">
        <v>351</v>
      </c>
      <c r="K13" s="16" t="n">
        <v>429</v>
      </c>
      <c r="L13" s="16" t="n">
        <v>507</v>
      </c>
      <c r="M13" s="16" t="n">
        <v>585</v>
      </c>
      <c r="N13" s="16" t="n">
        <v>741</v>
      </c>
      <c r="O13" s="16" t="n">
        <v>858</v>
      </c>
      <c r="P13" s="16" t="n">
        <v>975</v>
      </c>
      <c r="Q13" s="16" t="n">
        <v>975</v>
      </c>
      <c r="R13" s="16" t="n">
        <v>975</v>
      </c>
      <c r="S13" s="16" t="n">
        <v>975</v>
      </c>
      <c r="T13" s="16" t="n">
        <v>975</v>
      </c>
      <c r="U13" s="16" t="n">
        <v>975</v>
      </c>
      <c r="V13" s="16" t="n">
        <v>975</v>
      </c>
      <c r="W13" s="16" t="n">
        <v>975</v>
      </c>
      <c r="X13" s="16" t="n">
        <v>975</v>
      </c>
      <c r="Y13" s="16" t="n">
        <v>975</v>
      </c>
      <c r="Z13" s="17" t="n">
        <f aca="false">SUM(B13:Y13)</f>
        <v>14352</v>
      </c>
    </row>
    <row r="14" customFormat="false" ht="15" hidden="false" customHeight="false" outlineLevel="0" collapsed="false">
      <c r="A14" s="13" t="s">
        <v>93</v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200</v>
      </c>
      <c r="L14" s="16" t="n">
        <v>300</v>
      </c>
      <c r="M14" s="16" t="n">
        <v>400</v>
      </c>
      <c r="N14" s="16" t="n">
        <v>500</v>
      </c>
      <c r="O14" s="16" t="n">
        <v>600</v>
      </c>
      <c r="P14" s="16" t="n">
        <v>700</v>
      </c>
      <c r="Q14" s="16" t="n">
        <v>800</v>
      </c>
      <c r="R14" s="16" t="n">
        <v>900</v>
      </c>
      <c r="S14" s="16" t="n">
        <v>1000</v>
      </c>
      <c r="T14" s="16" t="n">
        <v>1100</v>
      </c>
      <c r="U14" s="16" t="n">
        <v>1200</v>
      </c>
      <c r="V14" s="16" t="n">
        <v>1300</v>
      </c>
      <c r="W14" s="16" t="n">
        <v>1400</v>
      </c>
      <c r="X14" s="16" t="n">
        <v>1500</v>
      </c>
      <c r="Y14" s="16" t="n">
        <v>1600</v>
      </c>
      <c r="Z14" s="17" t="n">
        <f aca="false">SUM(B14:Y14)</f>
        <v>13500</v>
      </c>
    </row>
    <row r="15" customFormat="false" ht="15" hidden="false" customHeight="false" outlineLevel="0" collapsed="false">
      <c r="A15" s="18" t="s">
        <v>94</v>
      </c>
      <c r="B15" s="19" t="n">
        <v>37</v>
      </c>
      <c r="C15" s="19" t="n">
        <v>87</v>
      </c>
      <c r="D15" s="19" t="n">
        <v>267</v>
      </c>
      <c r="E15" s="19" t="n">
        <v>368</v>
      </c>
      <c r="F15" s="19" t="n">
        <v>443</v>
      </c>
      <c r="G15" s="19" t="n">
        <v>570</v>
      </c>
      <c r="H15" s="19" t="n">
        <v>671</v>
      </c>
      <c r="I15" s="19" t="n">
        <v>785</v>
      </c>
      <c r="J15" s="19" t="n">
        <v>1438</v>
      </c>
      <c r="K15" s="19" t="n">
        <v>2116</v>
      </c>
      <c r="L15" s="19" t="n">
        <v>2694</v>
      </c>
      <c r="M15" s="19" t="n">
        <v>3297</v>
      </c>
      <c r="N15" s="19" t="n">
        <v>4703</v>
      </c>
      <c r="O15" s="19" t="n">
        <v>5482</v>
      </c>
      <c r="P15" s="19" t="n">
        <v>6262</v>
      </c>
      <c r="Q15" s="19" t="n">
        <v>6949</v>
      </c>
      <c r="R15" s="19" t="n">
        <v>7636</v>
      </c>
      <c r="S15" s="19" t="n">
        <v>8336</v>
      </c>
      <c r="T15" s="19" t="n">
        <v>8986</v>
      </c>
      <c r="U15" s="19" t="n">
        <v>9649</v>
      </c>
      <c r="V15" s="19" t="n">
        <v>10324</v>
      </c>
      <c r="W15" s="19" t="n">
        <v>10999</v>
      </c>
      <c r="X15" s="19" t="n">
        <v>11686</v>
      </c>
      <c r="Y15" s="19" t="n">
        <v>12386</v>
      </c>
      <c r="Z15" s="17" t="n">
        <f aca="false">SUM(B15:Y15)</f>
        <v>116171</v>
      </c>
    </row>
    <row r="17" customFormat="false" ht="15" hidden="false" customHeight="false" outlineLevel="0" collapsed="false">
      <c r="A17" s="3" t="s">
        <v>95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false" outlineLevel="0" collapsed="false">
      <c r="A18" s="13" t="s">
        <v>96</v>
      </c>
      <c r="B18" s="16" t="n">
        <v>4</v>
      </c>
      <c r="C18" s="16" t="n">
        <v>9</v>
      </c>
      <c r="D18" s="16" t="n">
        <v>15</v>
      </c>
      <c r="E18" s="16" t="n">
        <v>21</v>
      </c>
      <c r="F18" s="16" t="n">
        <v>29</v>
      </c>
      <c r="G18" s="16" t="n">
        <v>38</v>
      </c>
      <c r="H18" s="16" t="n">
        <v>44</v>
      </c>
      <c r="I18" s="16" t="n">
        <v>51</v>
      </c>
      <c r="J18" s="16" t="n">
        <v>65</v>
      </c>
      <c r="K18" s="16" t="n">
        <v>79</v>
      </c>
      <c r="L18" s="16" t="n">
        <v>92</v>
      </c>
      <c r="M18" s="16" t="n">
        <v>109</v>
      </c>
      <c r="N18" s="16" t="n">
        <v>128</v>
      </c>
      <c r="O18" s="16" t="n">
        <v>140</v>
      </c>
      <c r="P18" s="16" t="n">
        <v>152</v>
      </c>
      <c r="Q18" s="16" t="n">
        <v>168</v>
      </c>
      <c r="R18" s="16" t="n">
        <v>182</v>
      </c>
      <c r="S18" s="16" t="n">
        <v>199</v>
      </c>
      <c r="T18" s="16" t="n">
        <v>210</v>
      </c>
      <c r="U18" s="16" t="n">
        <v>222</v>
      </c>
      <c r="V18" s="16" t="n">
        <v>236</v>
      </c>
      <c r="W18" s="16" t="n">
        <v>250</v>
      </c>
      <c r="X18" s="16" t="n">
        <v>265</v>
      </c>
      <c r="Y18" s="16" t="n">
        <v>281</v>
      </c>
      <c r="Z18" s="17" t="n">
        <f aca="false">SUM(B18:Y18)</f>
        <v>2989</v>
      </c>
    </row>
    <row r="19" customFormat="false" ht="15" hidden="false" customHeight="false" outlineLevel="0" collapsed="false">
      <c r="A19" s="13" t="s">
        <v>97</v>
      </c>
      <c r="B19" s="16" t="n">
        <v>76</v>
      </c>
      <c r="C19" s="16" t="n">
        <v>76</v>
      </c>
      <c r="D19" s="16" t="n">
        <v>77</v>
      </c>
      <c r="E19" s="16" t="n">
        <v>78</v>
      </c>
      <c r="F19" s="16" t="n">
        <v>80</v>
      </c>
      <c r="G19" s="16" t="n">
        <v>81</v>
      </c>
      <c r="H19" s="16" t="n">
        <v>82</v>
      </c>
      <c r="I19" s="16" t="n">
        <v>83</v>
      </c>
      <c r="J19" s="16" t="n">
        <v>85</v>
      </c>
      <c r="K19" s="16" t="n">
        <v>88</v>
      </c>
      <c r="L19" s="16" t="n">
        <v>90</v>
      </c>
      <c r="M19" s="16" t="n">
        <v>92</v>
      </c>
      <c r="N19" s="16" t="n">
        <v>95</v>
      </c>
      <c r="O19" s="16" t="n">
        <v>97</v>
      </c>
      <c r="P19" s="16" t="n">
        <v>99</v>
      </c>
      <c r="Q19" s="16" t="n">
        <v>102</v>
      </c>
      <c r="R19" s="16" t="n">
        <v>104</v>
      </c>
      <c r="S19" s="16" t="n">
        <v>107</v>
      </c>
      <c r="T19" s="16" t="n">
        <v>109</v>
      </c>
      <c r="U19" s="16" t="n">
        <v>111</v>
      </c>
      <c r="V19" s="16" t="n">
        <v>113</v>
      </c>
      <c r="W19" s="16" t="n">
        <v>115</v>
      </c>
      <c r="X19" s="16" t="n">
        <v>117</v>
      </c>
      <c r="Y19" s="16" t="n">
        <v>120</v>
      </c>
      <c r="Z19" s="17" t="n">
        <f aca="false">SUM(B19:Y19)</f>
        <v>2277</v>
      </c>
    </row>
    <row r="20" customFormat="false" ht="15" hidden="false" customHeight="false" outlineLevel="0" collapsed="false">
      <c r="A20" s="13" t="s">
        <v>98</v>
      </c>
      <c r="B20" s="16" t="n">
        <v>0</v>
      </c>
      <c r="C20" s="16" t="n">
        <v>1</v>
      </c>
      <c r="D20" s="16" t="n">
        <v>1</v>
      </c>
      <c r="E20" s="16" t="n">
        <v>2</v>
      </c>
      <c r="F20" s="16" t="n">
        <v>3</v>
      </c>
      <c r="G20" s="16" t="n">
        <v>4</v>
      </c>
      <c r="H20" s="16" t="n">
        <v>4</v>
      </c>
      <c r="I20" s="16" t="n">
        <v>5</v>
      </c>
      <c r="J20" s="16" t="n">
        <v>6</v>
      </c>
      <c r="K20" s="16" t="n">
        <v>8</v>
      </c>
      <c r="L20" s="16" t="n">
        <v>9</v>
      </c>
      <c r="M20" s="16" t="n">
        <v>10</v>
      </c>
      <c r="N20" s="16" t="n">
        <v>12</v>
      </c>
      <c r="O20" s="16" t="n">
        <v>13</v>
      </c>
      <c r="P20" s="16" t="n">
        <v>15</v>
      </c>
      <c r="Q20" s="16" t="n">
        <v>16</v>
      </c>
      <c r="R20" s="16" t="n">
        <v>18</v>
      </c>
      <c r="S20" s="16" t="n">
        <v>19</v>
      </c>
      <c r="T20" s="16" t="n">
        <v>20</v>
      </c>
      <c r="U20" s="16" t="n">
        <v>21</v>
      </c>
      <c r="V20" s="16" t="n">
        <v>23</v>
      </c>
      <c r="W20" s="16" t="n">
        <v>24</v>
      </c>
      <c r="X20" s="16" t="n">
        <v>25</v>
      </c>
      <c r="Y20" s="16" t="n">
        <v>27</v>
      </c>
      <c r="Z20" s="17" t="n">
        <f aca="false">SUM(B20:Y20)</f>
        <v>286</v>
      </c>
    </row>
    <row r="21" customFormat="false" ht="15" hidden="false" customHeight="false" outlineLevel="0" collapsed="false">
      <c r="A21" s="13" t="s">
        <v>99</v>
      </c>
      <c r="B21" s="16" t="n">
        <v>60</v>
      </c>
      <c r="C21" s="16" t="n">
        <v>60</v>
      </c>
      <c r="D21" s="16" t="n">
        <v>60</v>
      </c>
      <c r="E21" s="16" t="n">
        <v>60</v>
      </c>
      <c r="F21" s="16" t="n">
        <v>60</v>
      </c>
      <c r="G21" s="16" t="n">
        <v>60</v>
      </c>
      <c r="H21" s="16" t="n">
        <v>60</v>
      </c>
      <c r="I21" s="16" t="n">
        <v>60</v>
      </c>
      <c r="J21" s="16" t="n">
        <v>60</v>
      </c>
      <c r="K21" s="16" t="n">
        <v>60</v>
      </c>
      <c r="L21" s="16" t="n">
        <v>60</v>
      </c>
      <c r="M21" s="16" t="n">
        <v>60</v>
      </c>
      <c r="N21" s="16" t="n">
        <v>60</v>
      </c>
      <c r="O21" s="16" t="n">
        <v>60</v>
      </c>
      <c r="P21" s="16" t="n">
        <v>60</v>
      </c>
      <c r="Q21" s="16" t="n">
        <v>60</v>
      </c>
      <c r="R21" s="16" t="n">
        <v>60</v>
      </c>
      <c r="S21" s="16" t="n">
        <v>60</v>
      </c>
      <c r="T21" s="16" t="n">
        <v>60</v>
      </c>
      <c r="U21" s="16" t="n">
        <v>60</v>
      </c>
      <c r="V21" s="16" t="n">
        <v>60</v>
      </c>
      <c r="W21" s="16" t="n">
        <v>60</v>
      </c>
      <c r="X21" s="16" t="n">
        <v>60</v>
      </c>
      <c r="Y21" s="16" t="n">
        <v>60</v>
      </c>
      <c r="Z21" s="17" t="n">
        <f aca="false">SUM(B21:Y21)</f>
        <v>1440</v>
      </c>
    </row>
    <row r="22" customFormat="false" ht="15" hidden="false" customHeight="false" outlineLevel="0" collapsed="false">
      <c r="A22" s="13" t="s">
        <v>100</v>
      </c>
      <c r="B22" s="16" t="n">
        <v>150</v>
      </c>
      <c r="C22" s="16" t="n">
        <v>150</v>
      </c>
      <c r="D22" s="16" t="n">
        <v>150</v>
      </c>
      <c r="E22" s="16" t="n">
        <v>150</v>
      </c>
      <c r="F22" s="16" t="n">
        <v>150</v>
      </c>
      <c r="G22" s="16" t="n">
        <v>150</v>
      </c>
      <c r="H22" s="16" t="n">
        <v>400</v>
      </c>
      <c r="I22" s="16" t="n">
        <v>400</v>
      </c>
      <c r="J22" s="16" t="n">
        <v>400</v>
      </c>
      <c r="K22" s="16" t="n">
        <v>400</v>
      </c>
      <c r="L22" s="16" t="n">
        <v>400</v>
      </c>
      <c r="M22" s="16" t="n">
        <v>400</v>
      </c>
      <c r="N22" s="16" t="n">
        <v>600</v>
      </c>
      <c r="O22" s="16" t="n">
        <v>600</v>
      </c>
      <c r="P22" s="16" t="n">
        <v>600</v>
      </c>
      <c r="Q22" s="16" t="n">
        <v>600</v>
      </c>
      <c r="R22" s="16" t="n">
        <v>600</v>
      </c>
      <c r="S22" s="16" t="n">
        <v>600</v>
      </c>
      <c r="T22" s="16" t="n">
        <v>600</v>
      </c>
      <c r="U22" s="16" t="n">
        <v>600</v>
      </c>
      <c r="V22" s="16" t="n">
        <v>600</v>
      </c>
      <c r="W22" s="16" t="n">
        <v>600</v>
      </c>
      <c r="X22" s="16" t="n">
        <v>600</v>
      </c>
      <c r="Y22" s="16" t="n">
        <v>600</v>
      </c>
      <c r="Z22" s="17" t="n">
        <f aca="false">SUM(B22:Y22)</f>
        <v>10500</v>
      </c>
    </row>
    <row r="23" customFormat="false" ht="15" hidden="false" customHeight="false" outlineLevel="0" collapsed="false">
      <c r="A23" s="13" t="s">
        <v>101</v>
      </c>
      <c r="B23" s="16" t="n">
        <v>0</v>
      </c>
      <c r="C23" s="16" t="n">
        <v>0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2500</v>
      </c>
      <c r="I23" s="16" t="n">
        <v>2500</v>
      </c>
      <c r="J23" s="16" t="n">
        <v>2500</v>
      </c>
      <c r="K23" s="16" t="n">
        <v>2500</v>
      </c>
      <c r="L23" s="16" t="n">
        <v>2500</v>
      </c>
      <c r="M23" s="16" t="n">
        <v>2500</v>
      </c>
      <c r="N23" s="16" t="n">
        <v>2500</v>
      </c>
      <c r="O23" s="16" t="n">
        <v>2500</v>
      </c>
      <c r="P23" s="16" t="n">
        <v>2500</v>
      </c>
      <c r="Q23" s="16" t="n">
        <v>2500</v>
      </c>
      <c r="R23" s="16" t="n">
        <v>2500</v>
      </c>
      <c r="S23" s="16" t="n">
        <v>2500</v>
      </c>
      <c r="T23" s="16" t="n">
        <v>2500</v>
      </c>
      <c r="U23" s="16" t="n">
        <v>2500</v>
      </c>
      <c r="V23" s="16" t="n">
        <v>2500</v>
      </c>
      <c r="W23" s="16" t="n">
        <v>2500</v>
      </c>
      <c r="X23" s="16" t="n">
        <v>2500</v>
      </c>
      <c r="Y23" s="16" t="n">
        <v>2500</v>
      </c>
      <c r="Z23" s="17" t="n">
        <f aca="false">SUM(B23:Y23)</f>
        <v>45000</v>
      </c>
    </row>
    <row r="24" customFormat="false" ht="15" hidden="false" customHeight="false" outlineLevel="0" collapsed="false">
      <c r="A24" s="13" t="s">
        <v>102</v>
      </c>
      <c r="B24" s="16" t="n">
        <v>0</v>
      </c>
      <c r="C24" s="16" t="n">
        <v>0</v>
      </c>
      <c r="D24" s="16" t="n">
        <v>750</v>
      </c>
      <c r="E24" s="16" t="n">
        <v>0</v>
      </c>
      <c r="F24" s="16" t="n">
        <v>0</v>
      </c>
      <c r="G24" s="16" t="n">
        <v>750</v>
      </c>
      <c r="H24" s="16" t="n">
        <v>0</v>
      </c>
      <c r="I24" s="16" t="n">
        <v>0</v>
      </c>
      <c r="J24" s="16" t="n">
        <v>750</v>
      </c>
      <c r="K24" s="16" t="n">
        <v>0</v>
      </c>
      <c r="L24" s="16" t="n">
        <v>0</v>
      </c>
      <c r="M24" s="16" t="n">
        <v>750</v>
      </c>
      <c r="N24" s="16" t="n">
        <v>0</v>
      </c>
      <c r="O24" s="16" t="n">
        <v>0</v>
      </c>
      <c r="P24" s="16" t="n">
        <v>750</v>
      </c>
      <c r="Q24" s="16" t="n">
        <v>0</v>
      </c>
      <c r="R24" s="16" t="n">
        <v>0</v>
      </c>
      <c r="S24" s="16" t="n">
        <v>750</v>
      </c>
      <c r="T24" s="16" t="n">
        <v>0</v>
      </c>
      <c r="U24" s="16" t="n">
        <v>0</v>
      </c>
      <c r="V24" s="16" t="n">
        <v>750</v>
      </c>
      <c r="W24" s="16" t="n">
        <v>0</v>
      </c>
      <c r="X24" s="16" t="n">
        <v>0</v>
      </c>
      <c r="Y24" s="16" t="n">
        <v>750</v>
      </c>
      <c r="Z24" s="17" t="n">
        <f aca="false">SUM(B24:Y24)</f>
        <v>6000</v>
      </c>
    </row>
    <row r="25" customFormat="false" ht="15" hidden="false" customHeight="false" outlineLevel="0" collapsed="false">
      <c r="A25" s="13" t="s">
        <v>103</v>
      </c>
      <c r="B25" s="16" t="n">
        <v>2000</v>
      </c>
      <c r="C25" s="16" t="n">
        <v>2000</v>
      </c>
      <c r="D25" s="16" t="n">
        <v>2000</v>
      </c>
      <c r="E25" s="16" t="n">
        <v>2000</v>
      </c>
      <c r="F25" s="16" t="n">
        <v>2000</v>
      </c>
      <c r="G25" s="16" t="n">
        <v>2000</v>
      </c>
      <c r="H25" s="16" t="n">
        <v>3000</v>
      </c>
      <c r="I25" s="16" t="n">
        <v>3000</v>
      </c>
      <c r="J25" s="16" t="n">
        <v>3000</v>
      </c>
      <c r="K25" s="16" t="n">
        <v>3000</v>
      </c>
      <c r="L25" s="16" t="n">
        <v>3000</v>
      </c>
      <c r="M25" s="16" t="n">
        <v>3000</v>
      </c>
      <c r="N25" s="16" t="n">
        <v>4000</v>
      </c>
      <c r="O25" s="16" t="n">
        <v>4000</v>
      </c>
      <c r="P25" s="16" t="n">
        <v>4000</v>
      </c>
      <c r="Q25" s="16" t="n">
        <v>4000</v>
      </c>
      <c r="R25" s="16" t="n">
        <v>4000</v>
      </c>
      <c r="S25" s="16" t="n">
        <v>4000</v>
      </c>
      <c r="T25" s="16" t="n">
        <v>4000</v>
      </c>
      <c r="U25" s="16" t="n">
        <v>4000</v>
      </c>
      <c r="V25" s="16" t="n">
        <v>4000</v>
      </c>
      <c r="W25" s="16" t="n">
        <v>4000</v>
      </c>
      <c r="X25" s="16" t="n">
        <v>4000</v>
      </c>
      <c r="Y25" s="16" t="n">
        <v>4000</v>
      </c>
      <c r="Z25" s="17" t="n">
        <f aca="false">SUM(B25:Y25)</f>
        <v>78000</v>
      </c>
    </row>
    <row r="26" customFormat="false" ht="15" hidden="false" customHeight="false" outlineLevel="0" collapsed="false">
      <c r="A26" s="18" t="s">
        <v>104</v>
      </c>
      <c r="B26" s="19" t="n">
        <v>2290</v>
      </c>
      <c r="C26" s="19" t="n">
        <v>2296</v>
      </c>
      <c r="D26" s="19" t="n">
        <v>3053</v>
      </c>
      <c r="E26" s="19" t="n">
        <v>2311</v>
      </c>
      <c r="F26" s="19" t="n">
        <v>2322</v>
      </c>
      <c r="G26" s="19" t="n">
        <v>3083</v>
      </c>
      <c r="H26" s="19" t="n">
        <v>6090</v>
      </c>
      <c r="I26" s="19" t="n">
        <v>6099</v>
      </c>
      <c r="J26" s="19" t="n">
        <v>6866</v>
      </c>
      <c r="K26" s="19" t="n">
        <v>6135</v>
      </c>
      <c r="L26" s="19" t="n">
        <v>6151</v>
      </c>
      <c r="M26" s="19" t="n">
        <v>6921</v>
      </c>
      <c r="N26" s="19" t="n">
        <v>7395</v>
      </c>
      <c r="O26" s="19" t="n">
        <v>7410</v>
      </c>
      <c r="P26" s="19" t="n">
        <v>8176</v>
      </c>
      <c r="Q26" s="19" t="n">
        <v>7446</v>
      </c>
      <c r="R26" s="19" t="n">
        <v>7464</v>
      </c>
      <c r="S26" s="19" t="n">
        <v>8235</v>
      </c>
      <c r="T26" s="19" t="n">
        <v>7499</v>
      </c>
      <c r="U26" s="19" t="n">
        <v>7514</v>
      </c>
      <c r="V26" s="19" t="n">
        <v>8282</v>
      </c>
      <c r="W26" s="19" t="n">
        <v>7549</v>
      </c>
      <c r="X26" s="19" t="n">
        <v>7567</v>
      </c>
      <c r="Y26" s="19" t="n">
        <v>8338</v>
      </c>
      <c r="Z26" s="17" t="n">
        <f aca="false">SUM(B26:Y26)</f>
        <v>146492</v>
      </c>
    </row>
    <row r="28" customFormat="false" ht="15" hidden="false" customHeight="false" outlineLevel="0" collapsed="false">
      <c r="A28" s="3" t="s">
        <v>105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" hidden="false" customHeight="false" outlineLevel="0" collapsed="false">
      <c r="A29" s="18" t="s">
        <v>106</v>
      </c>
      <c r="B29" s="20" t="n">
        <v>-2253</v>
      </c>
      <c r="C29" s="20" t="n">
        <v>-2209</v>
      </c>
      <c r="D29" s="20" t="n">
        <v>-2786</v>
      </c>
      <c r="E29" s="20" t="n">
        <v>-1943</v>
      </c>
      <c r="F29" s="20" t="n">
        <v>-1879</v>
      </c>
      <c r="G29" s="20" t="n">
        <v>-2513</v>
      </c>
      <c r="H29" s="20" t="n">
        <v>-5419</v>
      </c>
      <c r="I29" s="20" t="n">
        <v>-5314</v>
      </c>
      <c r="J29" s="20" t="n">
        <v>-5428</v>
      </c>
      <c r="K29" s="20" t="n">
        <v>-4019</v>
      </c>
      <c r="L29" s="20" t="n">
        <v>-3457</v>
      </c>
      <c r="M29" s="20" t="n">
        <v>-3624</v>
      </c>
      <c r="N29" s="20" t="n">
        <v>-2692</v>
      </c>
      <c r="O29" s="20" t="n">
        <v>-1928</v>
      </c>
      <c r="P29" s="20" t="n">
        <v>-1914</v>
      </c>
      <c r="Q29" s="20" t="n">
        <v>-497</v>
      </c>
      <c r="R29" s="21" t="n">
        <v>172</v>
      </c>
      <c r="S29" s="21" t="n">
        <v>101</v>
      </c>
      <c r="T29" s="21" t="n">
        <v>1487</v>
      </c>
      <c r="U29" s="21" t="n">
        <v>2135</v>
      </c>
      <c r="V29" s="21" t="n">
        <v>2042</v>
      </c>
      <c r="W29" s="21" t="n">
        <v>3450</v>
      </c>
      <c r="X29" s="21" t="n">
        <v>4119</v>
      </c>
      <c r="Y29" s="21" t="n">
        <v>4048</v>
      </c>
      <c r="Z29" s="17" t="n">
        <f aca="false">SUM(B29:Y29)</f>
        <v>-30321</v>
      </c>
    </row>
    <row r="30" customFormat="false" ht="15" hidden="false" customHeight="false" outlineLevel="0" collapsed="false">
      <c r="A30" s="13" t="s">
        <v>107</v>
      </c>
      <c r="B30" s="22" t="n">
        <v>-1.16216216216216</v>
      </c>
      <c r="C30" s="22" t="n">
        <v>0.0114942528735632</v>
      </c>
      <c r="D30" s="22" t="n">
        <v>0.651685393258427</v>
      </c>
      <c r="E30" s="22" t="n">
        <v>0.72554347826087</v>
      </c>
      <c r="F30" s="22" t="n">
        <v>0.747178329571106</v>
      </c>
      <c r="G30" s="22" t="n">
        <v>0.78421052631579</v>
      </c>
      <c r="H30" s="22" t="n">
        <v>0.806259314456036</v>
      </c>
      <c r="I30" s="22" t="n">
        <v>0.822929936305733</v>
      </c>
      <c r="J30" s="22" t="n">
        <v>0.891515994436718</v>
      </c>
      <c r="K30" s="22" t="n">
        <v>0.917296786389414</v>
      </c>
      <c r="L30" s="22" t="n">
        <v>0.929101707498144</v>
      </c>
      <c r="M30" s="22" t="n">
        <v>0.936002426448286</v>
      </c>
      <c r="N30" s="22" t="n">
        <v>0.950031894535403</v>
      </c>
      <c r="O30" s="22" t="n">
        <v>0.95439620576432</v>
      </c>
      <c r="P30" s="22" t="n">
        <v>0.957521558607474</v>
      </c>
      <c r="Q30" s="22" t="n">
        <v>0.958842998992661</v>
      </c>
      <c r="R30" s="22" t="n">
        <v>0.960188580408591</v>
      </c>
      <c r="S30" s="22" t="n">
        <v>0.961012476007678</v>
      </c>
      <c r="T30" s="22" t="n">
        <v>0.962274649454707</v>
      </c>
      <c r="U30" s="22" t="n">
        <v>0.963312260337859</v>
      </c>
      <c r="V30" s="22" t="n">
        <v>0.96396745447501</v>
      </c>
      <c r="W30" s="22" t="n">
        <v>0.964633148468043</v>
      </c>
      <c r="X30" s="22" t="n">
        <v>0.96517200068458</v>
      </c>
      <c r="Y30" s="22" t="n">
        <v>0.965444857096722</v>
      </c>
      <c r="Z30" s="23" t="n">
        <f aca="false">AVERAGE(B30:Y30)</f>
        <v>0.774493919520207</v>
      </c>
    </row>
    <row r="31" customFormat="false" ht="15" hidden="false" customHeight="false" outlineLevel="0" collapsed="false">
      <c r="A31" s="5" t="s">
        <v>108</v>
      </c>
      <c r="B31" s="24" t="n">
        <v>-2253</v>
      </c>
      <c r="C31" s="24" t="n">
        <v>-4462</v>
      </c>
      <c r="D31" s="24" t="n">
        <v>-7248</v>
      </c>
      <c r="E31" s="24" t="n">
        <v>-9191</v>
      </c>
      <c r="F31" s="24" t="n">
        <v>-11070</v>
      </c>
      <c r="G31" s="24" t="n">
        <v>-13583</v>
      </c>
      <c r="H31" s="24" t="n">
        <v>-19002</v>
      </c>
      <c r="I31" s="24" t="n">
        <v>-24316</v>
      </c>
      <c r="J31" s="24" t="n">
        <v>-29744</v>
      </c>
      <c r="K31" s="24" t="n">
        <v>-33763</v>
      </c>
      <c r="L31" s="24" t="n">
        <v>-37220</v>
      </c>
      <c r="M31" s="24" t="n">
        <v>-40844</v>
      </c>
      <c r="N31" s="24" t="n">
        <v>-43536</v>
      </c>
      <c r="O31" s="24" t="n">
        <v>-45464</v>
      </c>
      <c r="P31" s="24" t="n">
        <v>-47378</v>
      </c>
      <c r="Q31" s="24" t="n">
        <v>-47875</v>
      </c>
      <c r="R31" s="24" t="n">
        <v>-47703</v>
      </c>
      <c r="S31" s="24" t="n">
        <v>-47602</v>
      </c>
      <c r="T31" s="24" t="n">
        <v>-46115</v>
      </c>
      <c r="U31" s="24" t="n">
        <v>-43980</v>
      </c>
      <c r="V31" s="24" t="n">
        <v>-41938</v>
      </c>
      <c r="W31" s="24" t="n">
        <v>-38488</v>
      </c>
      <c r="X31" s="24" t="n">
        <v>-34369</v>
      </c>
      <c r="Y31" s="24" t="n">
        <v>-30321</v>
      </c>
      <c r="Z31" s="17" t="n">
        <f aca="false">Y31</f>
        <v>-30321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20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109</v>
      </c>
    </row>
    <row r="3" customFormat="false" ht="15" hidden="false" customHeight="false" outlineLevel="0" collapsed="false">
      <c r="A3" s="11" t="s">
        <v>110</v>
      </c>
      <c r="B3" s="11" t="s">
        <v>111</v>
      </c>
      <c r="C3" s="11" t="s">
        <v>112</v>
      </c>
      <c r="D3" s="11" t="s">
        <v>113</v>
      </c>
      <c r="E3" s="11" t="s">
        <v>114</v>
      </c>
    </row>
    <row r="4" customFormat="false" ht="15" hidden="false" customHeight="false" outlineLevel="0" collapsed="false">
      <c r="A4" s="25" t="s">
        <v>115</v>
      </c>
      <c r="B4" s="26" t="s">
        <v>116</v>
      </c>
      <c r="C4" s="26" t="s">
        <v>117</v>
      </c>
      <c r="D4" s="26" t="s">
        <v>118</v>
      </c>
      <c r="E4" s="27"/>
    </row>
    <row r="5" customFormat="false" ht="15" hidden="false" customHeight="false" outlineLevel="0" collapsed="false">
      <c r="A5" s="28" t="s">
        <v>119</v>
      </c>
      <c r="B5" s="29" t="s">
        <v>120</v>
      </c>
      <c r="C5" s="29" t="s">
        <v>121</v>
      </c>
      <c r="D5" s="29" t="s">
        <v>120</v>
      </c>
      <c r="E5" s="30" t="s">
        <v>122</v>
      </c>
    </row>
    <row r="6" customFormat="false" ht="15" hidden="false" customHeight="false" outlineLevel="0" collapsed="false">
      <c r="A6" s="25" t="s">
        <v>123</v>
      </c>
      <c r="B6" s="26" t="s">
        <v>124</v>
      </c>
      <c r="C6" s="26" t="s">
        <v>125</v>
      </c>
      <c r="D6" s="26" t="s">
        <v>124</v>
      </c>
      <c r="E6" s="27"/>
    </row>
    <row r="7" customFormat="false" ht="15" hidden="false" customHeight="false" outlineLevel="0" collapsed="false">
      <c r="A7" s="28" t="s">
        <v>126</v>
      </c>
      <c r="B7" s="29" t="s">
        <v>127</v>
      </c>
      <c r="C7" s="29" t="s">
        <v>127</v>
      </c>
      <c r="D7" s="29" t="s">
        <v>127</v>
      </c>
      <c r="E7" s="30"/>
    </row>
    <row r="8" customFormat="false" ht="15" hidden="false" customHeight="false" outlineLevel="0" collapsed="false">
      <c r="A8" s="25" t="s">
        <v>128</v>
      </c>
      <c r="B8" s="26" t="s">
        <v>129</v>
      </c>
      <c r="C8" s="26" t="s">
        <v>130</v>
      </c>
      <c r="D8" s="26" t="s">
        <v>129</v>
      </c>
      <c r="E8" s="27"/>
    </row>
    <row r="9" customFormat="false" ht="15" hidden="false" customHeight="false" outlineLevel="0" collapsed="false">
      <c r="A9" s="28" t="s">
        <v>131</v>
      </c>
      <c r="B9" s="29" t="s">
        <v>132</v>
      </c>
      <c r="C9" s="29" t="s">
        <v>133</v>
      </c>
      <c r="D9" s="29" t="s">
        <v>134</v>
      </c>
      <c r="E9" s="30"/>
    </row>
    <row r="10" customFormat="false" ht="15" hidden="false" customHeight="false" outlineLevel="0" collapsed="false">
      <c r="A10" s="25" t="s">
        <v>135</v>
      </c>
      <c r="B10" s="26" t="s">
        <v>136</v>
      </c>
      <c r="C10" s="26" t="s">
        <v>137</v>
      </c>
      <c r="D10" s="26" t="s">
        <v>138</v>
      </c>
      <c r="E10" s="27"/>
    </row>
    <row r="11" customFormat="false" ht="15" hidden="false" customHeight="false" outlineLevel="0" collapsed="false">
      <c r="A11" s="28"/>
      <c r="B11" s="29"/>
      <c r="C11" s="29"/>
      <c r="D11" s="29"/>
      <c r="E11" s="30"/>
    </row>
    <row r="12" customFormat="false" ht="15" hidden="false" customHeight="false" outlineLevel="0" collapsed="false">
      <c r="A12" s="25" t="s">
        <v>139</v>
      </c>
      <c r="B12" s="26" t="s">
        <v>140</v>
      </c>
      <c r="C12" s="26" t="s">
        <v>140</v>
      </c>
      <c r="D12" s="26" t="s">
        <v>141</v>
      </c>
      <c r="E12" s="27" t="s">
        <v>142</v>
      </c>
    </row>
    <row r="13" customFormat="false" ht="15" hidden="false" customHeight="false" outlineLevel="0" collapsed="false">
      <c r="A13" s="28" t="s">
        <v>143</v>
      </c>
      <c r="B13" s="29" t="s">
        <v>144</v>
      </c>
      <c r="C13" s="29" t="s">
        <v>145</v>
      </c>
      <c r="D13" s="29" t="s">
        <v>146</v>
      </c>
      <c r="E13" s="30" t="s">
        <v>147</v>
      </c>
    </row>
    <row r="14" customFormat="false" ht="15" hidden="false" customHeight="false" outlineLevel="0" collapsed="false">
      <c r="A14" s="25" t="s">
        <v>148</v>
      </c>
      <c r="B14" s="26" t="s">
        <v>149</v>
      </c>
      <c r="C14" s="26" t="s">
        <v>150</v>
      </c>
      <c r="D14" s="26" t="s">
        <v>151</v>
      </c>
      <c r="E14" s="27"/>
    </row>
    <row r="15" customFormat="false" ht="15" hidden="false" customHeight="false" outlineLevel="0" collapsed="false">
      <c r="A15" s="28" t="s">
        <v>152</v>
      </c>
      <c r="B15" s="29" t="s">
        <v>153</v>
      </c>
      <c r="C15" s="29" t="s">
        <v>154</v>
      </c>
      <c r="D15" s="29" t="s">
        <v>155</v>
      </c>
      <c r="E15" s="30"/>
    </row>
    <row r="16" customFormat="false" ht="15" hidden="false" customHeight="false" outlineLevel="0" collapsed="false">
      <c r="A16" s="25" t="s">
        <v>156</v>
      </c>
      <c r="B16" s="26" t="s">
        <v>157</v>
      </c>
      <c r="C16" s="26" t="s">
        <v>158</v>
      </c>
      <c r="D16" s="26" t="s">
        <v>159</v>
      </c>
      <c r="E16" s="27"/>
    </row>
    <row r="17" customFormat="false" ht="15" hidden="false" customHeight="false" outlineLevel="0" collapsed="false">
      <c r="A17" s="28"/>
      <c r="B17" s="29"/>
      <c r="C17" s="29"/>
      <c r="D17" s="29"/>
      <c r="E17" s="30"/>
    </row>
    <row r="18" customFormat="false" ht="15" hidden="false" customHeight="false" outlineLevel="0" collapsed="false">
      <c r="A18" s="25" t="s">
        <v>160</v>
      </c>
      <c r="B18" s="26" t="s">
        <v>161</v>
      </c>
      <c r="C18" s="26" t="s">
        <v>162</v>
      </c>
      <c r="D18" s="26" t="s">
        <v>163</v>
      </c>
      <c r="E18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0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11" t="s">
        <v>110</v>
      </c>
      <c r="B4" s="31" t="s">
        <v>166</v>
      </c>
      <c r="C4" s="11" t="s">
        <v>167</v>
      </c>
      <c r="D4" s="11" t="s">
        <v>168</v>
      </c>
      <c r="E4" s="11" t="s">
        <v>169</v>
      </c>
    </row>
    <row r="5" customFormat="false" ht="15" hidden="false" customHeight="false" outlineLevel="0" collapsed="false">
      <c r="A5" s="3"/>
      <c r="B5" s="3" t="s">
        <v>170</v>
      </c>
      <c r="C5" s="4"/>
      <c r="D5" s="4"/>
      <c r="E5" s="4"/>
    </row>
    <row r="6" customFormat="false" ht="15" hidden="false" customHeight="false" outlineLevel="0" collapsed="false">
      <c r="A6" s="32" t="s">
        <v>171</v>
      </c>
      <c r="B6" s="33" t="s">
        <v>172</v>
      </c>
      <c r="C6" s="34" t="s">
        <v>173</v>
      </c>
      <c r="D6" s="34" t="s">
        <v>174</v>
      </c>
      <c r="E6" s="34"/>
    </row>
    <row r="7" customFormat="false" ht="15" hidden="false" customHeight="false" outlineLevel="0" collapsed="false">
      <c r="A7" s="5" t="s">
        <v>175</v>
      </c>
      <c r="B7" s="35" t="s">
        <v>176</v>
      </c>
      <c r="C7" s="13" t="s">
        <v>177</v>
      </c>
      <c r="D7" s="13" t="s">
        <v>178</v>
      </c>
      <c r="E7" s="13"/>
    </row>
    <row r="8" customFormat="false" ht="15" hidden="false" customHeight="false" outlineLevel="0" collapsed="false">
      <c r="A8" s="32" t="s">
        <v>179</v>
      </c>
      <c r="B8" s="33" t="s">
        <v>180</v>
      </c>
      <c r="C8" s="34" t="s">
        <v>181</v>
      </c>
      <c r="D8" s="34" t="s">
        <v>182</v>
      </c>
      <c r="E8" s="34"/>
    </row>
    <row r="9" customFormat="false" ht="15" hidden="false" customHeight="false" outlineLevel="0" collapsed="false">
      <c r="A9" s="5" t="s">
        <v>183</v>
      </c>
      <c r="B9" s="35" t="s">
        <v>184</v>
      </c>
      <c r="C9" s="13" t="s">
        <v>185</v>
      </c>
      <c r="D9" s="13" t="s">
        <v>186</v>
      </c>
      <c r="E9" s="13"/>
    </row>
    <row r="11" customFormat="false" ht="15" hidden="false" customHeight="false" outlineLevel="0" collapsed="false">
      <c r="A11" s="5" t="s">
        <v>187</v>
      </c>
      <c r="B11" s="35" t="s">
        <v>188</v>
      </c>
      <c r="C11" s="13" t="s">
        <v>189</v>
      </c>
      <c r="D11" s="13" t="s">
        <v>190</v>
      </c>
      <c r="E11" s="13"/>
    </row>
    <row r="12" customFormat="false" ht="15" hidden="false" customHeight="false" outlineLevel="0" collapsed="false">
      <c r="A12" s="32" t="s">
        <v>191</v>
      </c>
      <c r="B12" s="33" t="s">
        <v>192</v>
      </c>
      <c r="C12" s="34" t="s">
        <v>193</v>
      </c>
      <c r="D12" s="34" t="s">
        <v>194</v>
      </c>
      <c r="E12" s="34" t="s">
        <v>195</v>
      </c>
    </row>
    <row r="13" customFormat="false" ht="15" hidden="false" customHeight="false" outlineLevel="0" collapsed="false">
      <c r="A13" s="5" t="s">
        <v>196</v>
      </c>
      <c r="B13" s="35" t="s">
        <v>197</v>
      </c>
      <c r="C13" s="13" t="s">
        <v>198</v>
      </c>
      <c r="D13" s="13" t="s">
        <v>193</v>
      </c>
      <c r="E13" s="13" t="s">
        <v>199</v>
      </c>
    </row>
    <row r="14" customFormat="false" ht="15" hidden="false" customHeight="false" outlineLevel="0" collapsed="false">
      <c r="A14" s="32" t="s">
        <v>200</v>
      </c>
      <c r="B14" s="33" t="s">
        <v>201</v>
      </c>
      <c r="C14" s="34" t="s">
        <v>181</v>
      </c>
      <c r="D14" s="34" t="s">
        <v>202</v>
      </c>
      <c r="E14" s="34" t="s">
        <v>203</v>
      </c>
    </row>
    <row r="16" customFormat="false" ht="15" hidden="false" customHeight="false" outlineLevel="0" collapsed="false">
      <c r="A16" s="3"/>
      <c r="B16" s="3" t="s">
        <v>204</v>
      </c>
      <c r="C16" s="4"/>
      <c r="D16" s="4"/>
      <c r="E16" s="4"/>
    </row>
    <row r="17" customFormat="false" ht="15" hidden="false" customHeight="false" outlineLevel="0" collapsed="false">
      <c r="A17" s="5" t="s">
        <v>205</v>
      </c>
      <c r="B17" s="35" t="s">
        <v>206</v>
      </c>
      <c r="C17" s="13" t="s">
        <v>207</v>
      </c>
      <c r="D17" s="13" t="s">
        <v>208</v>
      </c>
      <c r="E17" s="13" t="s">
        <v>209</v>
      </c>
    </row>
    <row r="18" customFormat="false" ht="15" hidden="false" customHeight="false" outlineLevel="0" collapsed="false">
      <c r="A18" s="32" t="s">
        <v>210</v>
      </c>
      <c r="B18" s="33" t="s">
        <v>211</v>
      </c>
      <c r="C18" s="34" t="s">
        <v>212</v>
      </c>
      <c r="D18" s="34" t="s">
        <v>213</v>
      </c>
      <c r="E18" s="34" t="s">
        <v>214</v>
      </c>
    </row>
    <row r="19" customFormat="false" ht="15" hidden="false" customHeight="false" outlineLevel="0" collapsed="false">
      <c r="A19" s="5" t="s">
        <v>215</v>
      </c>
      <c r="B19" s="35" t="s">
        <v>216</v>
      </c>
      <c r="C19" s="13" t="s">
        <v>216</v>
      </c>
      <c r="D19" s="13" t="s">
        <v>216</v>
      </c>
      <c r="E19" s="13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6"/>
  </cols>
  <sheetData>
    <row r="1" customFormat="false" ht="15" hidden="false" customHeight="false" outlineLevel="0" collapsed="false">
      <c r="B1" s="31" t="s">
        <v>218</v>
      </c>
      <c r="C1" s="31" t="s">
        <v>219</v>
      </c>
      <c r="D1" s="31" t="s">
        <v>220</v>
      </c>
      <c r="E1" s="31" t="s">
        <v>221</v>
      </c>
      <c r="F1" s="31" t="s">
        <v>222</v>
      </c>
      <c r="G1" s="31" t="s">
        <v>223</v>
      </c>
      <c r="H1" s="31" t="s">
        <v>224</v>
      </c>
      <c r="I1" s="31" t="s">
        <v>225</v>
      </c>
    </row>
    <row r="2" customFormat="false" ht="15" hidden="false" customHeight="false" outlineLevel="0" collapsed="false">
      <c r="A2" s="36" t="s">
        <v>226</v>
      </c>
    </row>
    <row r="3" customFormat="false" ht="15" hidden="false" customHeight="false" outlineLevel="0" collapsed="false">
      <c r="A3" s="5" t="s">
        <v>227</v>
      </c>
      <c r="B3" s="37" t="n">
        <v>12</v>
      </c>
      <c r="C3" s="37" t="n">
        <v>30</v>
      </c>
      <c r="D3" s="37" t="n">
        <v>47</v>
      </c>
      <c r="E3" s="37" t="n">
        <v>73</v>
      </c>
      <c r="F3" s="37" t="n">
        <v>87</v>
      </c>
      <c r="G3" s="37" t="n">
        <v>109</v>
      </c>
      <c r="H3" s="37" t="n">
        <v>124</v>
      </c>
      <c r="I3" s="37" t="n">
        <v>145</v>
      </c>
    </row>
    <row r="4" customFormat="false" ht="15" hidden="false" customHeight="false" outlineLevel="0" collapsed="false">
      <c r="A4" s="5" t="s">
        <v>228</v>
      </c>
      <c r="B4" s="37" t="n">
        <v>12</v>
      </c>
      <c r="C4" s="37" t="n">
        <v>30</v>
      </c>
      <c r="D4" s="37" t="n">
        <v>52</v>
      </c>
      <c r="E4" s="37" t="n">
        <v>87</v>
      </c>
      <c r="F4" s="37" t="n">
        <v>122</v>
      </c>
      <c r="G4" s="37" t="n">
        <v>159</v>
      </c>
      <c r="H4" s="37" t="n">
        <v>189</v>
      </c>
      <c r="I4" s="37" t="n">
        <v>225</v>
      </c>
    </row>
    <row r="5" customFormat="false" ht="15" hidden="false" customHeight="false" outlineLevel="0" collapsed="false">
      <c r="A5" s="5" t="s">
        <v>229</v>
      </c>
      <c r="B5" s="38" t="n">
        <v>391</v>
      </c>
      <c r="C5" s="38" t="n">
        <v>1381</v>
      </c>
      <c r="D5" s="38" t="n">
        <v>2894</v>
      </c>
      <c r="E5" s="38" t="n">
        <v>8107</v>
      </c>
      <c r="F5" s="38" t="n">
        <v>16447</v>
      </c>
      <c r="G5" s="38" t="n">
        <v>22921</v>
      </c>
      <c r="H5" s="38" t="n">
        <v>28959</v>
      </c>
      <c r="I5" s="38" t="n">
        <v>35071</v>
      </c>
    </row>
    <row r="6" customFormat="false" ht="15" hidden="false" customHeight="false" outlineLevel="0" collapsed="false">
      <c r="A6" s="5" t="s">
        <v>230</v>
      </c>
      <c r="B6" s="38" t="n">
        <v>7639</v>
      </c>
      <c r="C6" s="38" t="n">
        <v>7716</v>
      </c>
      <c r="D6" s="38" t="n">
        <v>19055</v>
      </c>
      <c r="E6" s="38" t="n">
        <v>19207</v>
      </c>
      <c r="F6" s="38" t="n">
        <v>22981</v>
      </c>
      <c r="G6" s="38" t="n">
        <v>23145</v>
      </c>
      <c r="H6" s="38" t="n">
        <v>23295</v>
      </c>
      <c r="I6" s="38" t="n">
        <v>23454</v>
      </c>
    </row>
    <row r="7" customFormat="false" ht="15" hidden="false" customHeight="false" outlineLevel="0" collapsed="false">
      <c r="A7" s="5" t="s">
        <v>231</v>
      </c>
      <c r="B7" s="24" t="n">
        <v>-7248</v>
      </c>
      <c r="C7" s="24" t="n">
        <v>-6335</v>
      </c>
      <c r="D7" s="24" t="n">
        <v>-16161</v>
      </c>
      <c r="E7" s="24" t="n">
        <v>-11100</v>
      </c>
      <c r="F7" s="24" t="n">
        <v>-6534</v>
      </c>
      <c r="G7" s="24" t="n">
        <v>-224</v>
      </c>
      <c r="H7" s="38" t="n">
        <v>5664</v>
      </c>
      <c r="I7" s="38" t="n">
        <v>11617</v>
      </c>
    </row>
    <row r="8" customFormat="false" ht="15" hidden="false" customHeight="false" outlineLevel="0" collapsed="false">
      <c r="A8" s="5" t="s">
        <v>232</v>
      </c>
      <c r="B8" s="24" t="n">
        <v>-7248</v>
      </c>
      <c r="C8" s="24" t="n">
        <v>-13583</v>
      </c>
      <c r="D8" s="24" t="n">
        <v>-29744</v>
      </c>
      <c r="E8" s="24" t="n">
        <v>-40844</v>
      </c>
      <c r="F8" s="24" t="n">
        <v>-47378</v>
      </c>
      <c r="G8" s="24" t="n">
        <v>-47602</v>
      </c>
      <c r="H8" s="24" t="n">
        <v>-41938</v>
      </c>
      <c r="I8" s="24" t="n">
        <v>-30321</v>
      </c>
    </row>
    <row r="10" customFormat="false" ht="15" hidden="false" customHeight="false" outlineLevel="0" collapsed="false">
      <c r="A10" s="39" t="s">
        <v>233</v>
      </c>
    </row>
    <row r="11" customFormat="false" ht="15" hidden="false" customHeight="false" outlineLevel="0" collapsed="false">
      <c r="A11" s="40" t="s">
        <v>234</v>
      </c>
    </row>
    <row r="12" customFormat="false" ht="15" hidden="false" customHeight="false" outlineLevel="0" collapsed="false">
      <c r="A12" s="41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20"/>
    <col collapsed="false" customWidth="true" hidden="false" outlineLevel="0" max="8" min="6" style="0" width="14"/>
  </cols>
  <sheetData>
    <row r="1" customFormat="false" ht="16.15" hidden="false" customHeight="false" outlineLevel="0" collapsed="false">
      <c r="A1" s="42" t="s">
        <v>236</v>
      </c>
    </row>
    <row r="2" customFormat="false" ht="15" hidden="false" customHeight="false" outlineLevel="0" collapsed="false">
      <c r="A2" s="2" t="s">
        <v>237</v>
      </c>
    </row>
    <row r="4" customFormat="false" ht="15" hidden="false" customHeight="false" outlineLevel="0" collapsed="false">
      <c r="A4" s="3" t="s">
        <v>238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5" t="s">
        <v>239</v>
      </c>
      <c r="B5" s="43" t="n">
        <v>0.1</v>
      </c>
      <c r="C5" s="43" t="n">
        <v>0.15</v>
      </c>
      <c r="D5" s="43" t="n">
        <v>0.2</v>
      </c>
      <c r="E5" s="44" t="n">
        <v>0.25</v>
      </c>
      <c r="F5" s="43" t="n">
        <v>0.3</v>
      </c>
      <c r="G5" s="43" t="n">
        <v>0.4</v>
      </c>
      <c r="H5" s="43" t="n">
        <v>0.5</v>
      </c>
    </row>
    <row r="6" customFormat="false" ht="15" hidden="false" customHeight="false" outlineLevel="0" collapsed="false">
      <c r="A6" s="5" t="s">
        <v>240</v>
      </c>
      <c r="B6" s="45" t="n">
        <v>-31720</v>
      </c>
      <c r="C6" s="45" t="n">
        <v>-31295</v>
      </c>
      <c r="D6" s="45" t="n">
        <v>-30957</v>
      </c>
      <c r="E6" s="45" t="n">
        <v>-30321</v>
      </c>
      <c r="F6" s="45" t="n">
        <v>-29849</v>
      </c>
      <c r="G6" s="45" t="n">
        <v>-28491</v>
      </c>
      <c r="H6" s="45" t="n">
        <v>-27061</v>
      </c>
    </row>
    <row r="7" customFormat="false" ht="15" hidden="false" customHeight="false" outlineLevel="0" collapsed="false">
      <c r="A7" s="13" t="s">
        <v>241</v>
      </c>
      <c r="B7" s="16" t="n">
        <v>114573</v>
      </c>
      <c r="C7" s="16" t="n">
        <v>115061</v>
      </c>
      <c r="D7" s="16" t="n">
        <v>115447</v>
      </c>
      <c r="E7" s="16" t="n">
        <v>116171</v>
      </c>
      <c r="F7" s="16" t="n">
        <v>116710</v>
      </c>
      <c r="G7" s="16" t="n">
        <v>118268</v>
      </c>
      <c r="H7" s="16" t="n">
        <v>119906</v>
      </c>
    </row>
    <row r="8" customFormat="false" ht="15" hidden="false" customHeight="false" outlineLevel="0" collapsed="false">
      <c r="A8" s="13" t="s">
        <v>242</v>
      </c>
      <c r="B8" s="14" t="n">
        <v>143</v>
      </c>
      <c r="C8" s="14" t="n">
        <v>144</v>
      </c>
      <c r="D8" s="14" t="n">
        <v>144</v>
      </c>
      <c r="E8" s="14" t="n">
        <v>145</v>
      </c>
      <c r="F8" s="14" t="n">
        <v>146</v>
      </c>
      <c r="G8" s="14" t="n">
        <v>150</v>
      </c>
      <c r="H8" s="14" t="n">
        <v>153</v>
      </c>
    </row>
    <row r="9" customFormat="false" ht="15" hidden="false" customHeight="false" outlineLevel="0" collapsed="false">
      <c r="A9" s="9" t="s">
        <v>243</v>
      </c>
      <c r="B9" s="46" t="n">
        <v>-1399</v>
      </c>
      <c r="C9" s="46" t="n">
        <v>-974</v>
      </c>
      <c r="D9" s="46" t="n">
        <v>-636</v>
      </c>
      <c r="E9" s="47" t="n">
        <v>0</v>
      </c>
      <c r="F9" s="47" t="n">
        <v>472</v>
      </c>
      <c r="G9" s="47" t="n">
        <v>1830</v>
      </c>
      <c r="H9" s="47" t="n">
        <v>3260</v>
      </c>
    </row>
    <row r="11" customFormat="false" ht="15" hidden="false" customHeight="false" outlineLevel="0" collapsed="false">
      <c r="A11" s="3" t="s">
        <v>244</v>
      </c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5" t="s">
        <v>239</v>
      </c>
      <c r="B12" s="43" t="n">
        <v>0.05</v>
      </c>
      <c r="C12" s="43" t="n">
        <v>0.1</v>
      </c>
      <c r="D12" s="44" t="n">
        <v>0.15</v>
      </c>
      <c r="E12" s="43" t="n">
        <v>0.2</v>
      </c>
      <c r="F12" s="43" t="n">
        <v>0.25</v>
      </c>
      <c r="G12" s="43" t="n">
        <v>0.3</v>
      </c>
    </row>
    <row r="13" customFormat="false" ht="15" hidden="false" customHeight="false" outlineLevel="0" collapsed="false">
      <c r="A13" s="5" t="s">
        <v>240</v>
      </c>
      <c r="B13" s="45" t="n">
        <v>-33924</v>
      </c>
      <c r="C13" s="45" t="n">
        <v>-32482</v>
      </c>
      <c r="D13" s="45" t="n">
        <v>-30321</v>
      </c>
      <c r="E13" s="45" t="n">
        <v>-27693</v>
      </c>
      <c r="F13" s="45" t="n">
        <v>-23544</v>
      </c>
      <c r="G13" s="45" t="n">
        <v>-18203</v>
      </c>
    </row>
    <row r="14" customFormat="false" ht="15" hidden="false" customHeight="false" outlineLevel="0" collapsed="false">
      <c r="A14" s="13" t="s">
        <v>241</v>
      </c>
      <c r="B14" s="16" t="n">
        <v>112052</v>
      </c>
      <c r="C14" s="16" t="n">
        <v>113698</v>
      </c>
      <c r="D14" s="16" t="n">
        <v>116171</v>
      </c>
      <c r="E14" s="16" t="n">
        <v>119179</v>
      </c>
      <c r="F14" s="16" t="n">
        <v>123926</v>
      </c>
      <c r="G14" s="16" t="n">
        <v>130035</v>
      </c>
    </row>
    <row r="15" customFormat="false" ht="15" hidden="false" customHeight="false" outlineLevel="0" collapsed="false">
      <c r="A15" s="13" t="s">
        <v>242</v>
      </c>
      <c r="B15" s="14" t="n">
        <v>132</v>
      </c>
      <c r="C15" s="14" t="n">
        <v>138</v>
      </c>
      <c r="D15" s="14" t="n">
        <v>145</v>
      </c>
      <c r="E15" s="14" t="n">
        <v>155</v>
      </c>
      <c r="F15" s="14" t="n">
        <v>171</v>
      </c>
      <c r="G15" s="14" t="n">
        <v>190</v>
      </c>
    </row>
    <row r="16" customFormat="false" ht="15" hidden="false" customHeight="false" outlineLevel="0" collapsed="false">
      <c r="A16" s="9" t="s">
        <v>243</v>
      </c>
      <c r="B16" s="46" t="n">
        <v>-3603</v>
      </c>
      <c r="C16" s="46" t="n">
        <v>-2161</v>
      </c>
      <c r="D16" s="47" t="n">
        <v>0</v>
      </c>
      <c r="E16" s="47" t="n">
        <v>2628</v>
      </c>
      <c r="F16" s="47" t="n">
        <v>6777</v>
      </c>
      <c r="G16" s="47" t="n">
        <v>12118</v>
      </c>
    </row>
    <row r="18" customFormat="false" ht="15" hidden="false" customHeight="false" outlineLevel="0" collapsed="false">
      <c r="A18" s="3" t="s">
        <v>143</v>
      </c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5" t="s">
        <v>239</v>
      </c>
      <c r="B19" s="43" t="n">
        <v>0.03</v>
      </c>
      <c r="C19" s="43" t="n">
        <v>0.05</v>
      </c>
      <c r="D19" s="44" t="n">
        <v>0.07</v>
      </c>
      <c r="E19" s="43" t="n">
        <v>0.1</v>
      </c>
      <c r="F19" s="43" t="n">
        <v>0.12</v>
      </c>
      <c r="G19" s="43" t="n">
        <v>0.15</v>
      </c>
    </row>
    <row r="20" customFormat="false" ht="15" hidden="false" customHeight="false" outlineLevel="0" collapsed="false">
      <c r="A20" s="5" t="s">
        <v>240</v>
      </c>
      <c r="B20" s="45" t="n">
        <v>-25827</v>
      </c>
      <c r="C20" s="45" t="n">
        <v>-28271</v>
      </c>
      <c r="D20" s="45" t="n">
        <v>-30321</v>
      </c>
      <c r="E20" s="45" t="n">
        <v>-33107</v>
      </c>
      <c r="F20" s="45" t="n">
        <v>-34420</v>
      </c>
      <c r="G20" s="45" t="n">
        <v>-36109</v>
      </c>
    </row>
    <row r="21" customFormat="false" ht="15" hidden="false" customHeight="false" outlineLevel="0" collapsed="false">
      <c r="A21" s="13" t="s">
        <v>241</v>
      </c>
      <c r="B21" s="16" t="n">
        <v>121317</v>
      </c>
      <c r="C21" s="16" t="n">
        <v>118519</v>
      </c>
      <c r="D21" s="16" t="n">
        <v>116171</v>
      </c>
      <c r="E21" s="16" t="n">
        <v>112985</v>
      </c>
      <c r="F21" s="16" t="n">
        <v>111486</v>
      </c>
      <c r="G21" s="16" t="n">
        <v>109550</v>
      </c>
    </row>
    <row r="22" customFormat="false" ht="15" hidden="false" customHeight="false" outlineLevel="0" collapsed="false">
      <c r="A22" s="13" t="s">
        <v>242</v>
      </c>
      <c r="B22" s="14" t="n">
        <v>196</v>
      </c>
      <c r="C22" s="14" t="n">
        <v>168</v>
      </c>
      <c r="D22" s="14" t="n">
        <v>145</v>
      </c>
      <c r="E22" s="14" t="n">
        <v>119</v>
      </c>
      <c r="F22" s="14" t="n">
        <v>106</v>
      </c>
      <c r="G22" s="14" t="n">
        <v>91</v>
      </c>
    </row>
    <row r="23" customFormat="false" ht="15" hidden="false" customHeight="false" outlineLevel="0" collapsed="false">
      <c r="A23" s="9" t="s">
        <v>243</v>
      </c>
      <c r="B23" s="47" t="n">
        <v>4494</v>
      </c>
      <c r="C23" s="47" t="n">
        <v>2050</v>
      </c>
      <c r="D23" s="47" t="n">
        <v>0</v>
      </c>
      <c r="E23" s="46" t="n">
        <v>-2786</v>
      </c>
      <c r="F23" s="46" t="n">
        <v>-4099</v>
      </c>
      <c r="G23" s="46" t="n">
        <v>-5788</v>
      </c>
    </row>
    <row r="25" customFormat="false" ht="15" hidden="false" customHeight="false" outlineLevel="0" collapsed="false">
      <c r="A25" s="3" t="s">
        <v>245</v>
      </c>
      <c r="B25" s="4"/>
      <c r="C25" s="4"/>
      <c r="D25" s="4"/>
      <c r="E25" s="4"/>
      <c r="F25" s="4"/>
      <c r="G25" s="4"/>
    </row>
    <row r="26" customFormat="false" ht="15" hidden="false" customHeight="false" outlineLevel="0" collapsed="false">
      <c r="A26" s="5" t="s">
        <v>239</v>
      </c>
      <c r="B26" s="48" t="n">
        <v>1</v>
      </c>
      <c r="C26" s="48" t="n">
        <v>2</v>
      </c>
      <c r="D26" s="49" t="n">
        <v>3</v>
      </c>
      <c r="E26" s="48" t="n">
        <v>5</v>
      </c>
      <c r="F26" s="48" t="n">
        <v>8</v>
      </c>
      <c r="G26" s="48" t="n">
        <v>10</v>
      </c>
    </row>
    <row r="27" customFormat="false" ht="15" hidden="false" customHeight="false" outlineLevel="0" collapsed="false">
      <c r="A27" s="5" t="s">
        <v>240</v>
      </c>
      <c r="B27" s="45" t="n">
        <v>-42890</v>
      </c>
      <c r="C27" s="45" t="n">
        <v>-36783</v>
      </c>
      <c r="D27" s="45" t="n">
        <v>-30321</v>
      </c>
      <c r="E27" s="45" t="n">
        <v>-16411</v>
      </c>
      <c r="F27" s="50" t="n">
        <v>5170</v>
      </c>
      <c r="G27" s="50" t="n">
        <v>13058</v>
      </c>
    </row>
    <row r="28" customFormat="false" ht="15" hidden="false" customHeight="false" outlineLevel="0" collapsed="false">
      <c r="A28" s="13" t="s">
        <v>241</v>
      </c>
      <c r="B28" s="16" t="n">
        <v>101795</v>
      </c>
      <c r="C28" s="16" t="n">
        <v>108777</v>
      </c>
      <c r="D28" s="16" t="n">
        <v>116171</v>
      </c>
      <c r="E28" s="16" t="n">
        <v>132083</v>
      </c>
      <c r="F28" s="16" t="n">
        <v>156763</v>
      </c>
      <c r="G28" s="16" t="n">
        <v>165793</v>
      </c>
    </row>
    <row r="29" customFormat="false" ht="15" hidden="false" customHeight="false" outlineLevel="0" collapsed="false">
      <c r="A29" s="13" t="s">
        <v>242</v>
      </c>
      <c r="B29" s="14" t="n">
        <v>48</v>
      </c>
      <c r="C29" s="14" t="n">
        <v>97</v>
      </c>
      <c r="D29" s="14" t="n">
        <v>145</v>
      </c>
      <c r="E29" s="14" t="n">
        <v>313</v>
      </c>
      <c r="F29" s="14" t="n">
        <v>369</v>
      </c>
      <c r="G29" s="14" t="n">
        <v>371</v>
      </c>
    </row>
    <row r="30" customFormat="false" ht="15" hidden="false" customHeight="false" outlineLevel="0" collapsed="false">
      <c r="A30" s="9" t="s">
        <v>243</v>
      </c>
      <c r="B30" s="46" t="n">
        <v>-12569</v>
      </c>
      <c r="C30" s="46" t="n">
        <v>-6462</v>
      </c>
      <c r="D30" s="47" t="n">
        <v>0</v>
      </c>
      <c r="E30" s="47" t="n">
        <v>13910</v>
      </c>
      <c r="F30" s="47" t="n">
        <v>35491</v>
      </c>
      <c r="G30" s="47" t="n">
        <v>43379</v>
      </c>
    </row>
    <row r="32" customFormat="false" ht="15" hidden="false" customHeight="false" outlineLevel="0" collapsed="false">
      <c r="A32" s="3" t="s">
        <v>246</v>
      </c>
      <c r="B32" s="4"/>
      <c r="C32" s="4"/>
      <c r="D32" s="4"/>
      <c r="E32" s="4"/>
      <c r="F32" s="4"/>
      <c r="G32" s="4"/>
    </row>
    <row r="33" customFormat="false" ht="15" hidden="false" customHeight="false" outlineLevel="0" collapsed="false">
      <c r="A33" s="5" t="s">
        <v>239</v>
      </c>
      <c r="B33" s="51" t="n">
        <v>4.99</v>
      </c>
      <c r="C33" s="51" t="n">
        <v>7.99</v>
      </c>
      <c r="D33" s="52" t="n">
        <v>9.99</v>
      </c>
      <c r="E33" s="51" t="n">
        <v>12.99</v>
      </c>
      <c r="F33" s="51" t="n">
        <v>14.99</v>
      </c>
      <c r="G33" s="51" t="n">
        <v>19.99</v>
      </c>
    </row>
    <row r="34" customFormat="false" ht="15" hidden="false" customHeight="false" outlineLevel="0" collapsed="false">
      <c r="A34" s="5" t="s">
        <v>240</v>
      </c>
      <c r="B34" s="45" t="n">
        <v>-36780</v>
      </c>
      <c r="C34" s="45" t="n">
        <v>-32902</v>
      </c>
      <c r="D34" s="45" t="n">
        <v>-30321</v>
      </c>
      <c r="E34" s="45" t="n">
        <v>-26442</v>
      </c>
      <c r="F34" s="45" t="n">
        <v>-23858</v>
      </c>
      <c r="G34" s="45" t="n">
        <v>-17395</v>
      </c>
    </row>
    <row r="35" customFormat="false" ht="15" hidden="false" customHeight="false" outlineLevel="0" collapsed="false">
      <c r="A35" s="13" t="s">
        <v>241</v>
      </c>
      <c r="B35" s="16" t="n">
        <v>109712</v>
      </c>
      <c r="C35" s="16" t="n">
        <v>113590</v>
      </c>
      <c r="D35" s="16" t="n">
        <v>116171</v>
      </c>
      <c r="E35" s="16" t="n">
        <v>120050</v>
      </c>
      <c r="F35" s="16" t="n">
        <v>122634</v>
      </c>
      <c r="G35" s="16" t="n">
        <v>129097</v>
      </c>
    </row>
    <row r="36" customFormat="false" ht="15" hidden="false" customHeight="false" outlineLevel="0" collapsed="false">
      <c r="A36" s="13" t="s">
        <v>242</v>
      </c>
      <c r="B36" s="14" t="n">
        <v>145</v>
      </c>
      <c r="C36" s="14" t="n">
        <v>145</v>
      </c>
      <c r="D36" s="14" t="n">
        <v>145</v>
      </c>
      <c r="E36" s="14" t="n">
        <v>145</v>
      </c>
      <c r="F36" s="14" t="n">
        <v>145</v>
      </c>
      <c r="G36" s="14" t="n">
        <v>145</v>
      </c>
    </row>
    <row r="37" customFormat="false" ht="15" hidden="false" customHeight="false" outlineLevel="0" collapsed="false">
      <c r="A37" s="9" t="s">
        <v>243</v>
      </c>
      <c r="B37" s="46" t="n">
        <v>-6459</v>
      </c>
      <c r="C37" s="46" t="n">
        <v>-2581</v>
      </c>
      <c r="D37" s="47" t="n">
        <v>0</v>
      </c>
      <c r="E37" s="47" t="n">
        <v>3879</v>
      </c>
      <c r="F37" s="47" t="n">
        <v>6463</v>
      </c>
      <c r="G37" s="47" t="n">
        <v>12926</v>
      </c>
    </row>
    <row r="39" customFormat="false" ht="15" hidden="false" customHeight="false" outlineLevel="0" collapsed="false">
      <c r="A39" s="3" t="s">
        <v>247</v>
      </c>
      <c r="B39" s="4"/>
      <c r="C39" s="4"/>
      <c r="D39" s="4"/>
      <c r="E39" s="4"/>
      <c r="F39" s="4"/>
      <c r="G39" s="4"/>
    </row>
    <row r="40" customFormat="false" ht="15" hidden="false" customHeight="false" outlineLevel="0" collapsed="false">
      <c r="A40" s="5" t="s">
        <v>239</v>
      </c>
      <c r="B40" s="48" t="n">
        <v>4</v>
      </c>
      <c r="C40" s="48" t="n">
        <v>6</v>
      </c>
      <c r="D40" s="49" t="n">
        <v>9</v>
      </c>
      <c r="E40" s="48" t="n">
        <v>12</v>
      </c>
      <c r="F40" s="48" t="n">
        <v>15</v>
      </c>
      <c r="G40" s="48" t="n">
        <v>18</v>
      </c>
    </row>
    <row r="41" customFormat="false" ht="15" hidden="false" customHeight="false" outlineLevel="0" collapsed="false">
      <c r="A41" s="5" t="s">
        <v>240</v>
      </c>
      <c r="B41" s="50" t="n">
        <v>10526</v>
      </c>
      <c r="C41" s="45" t="n">
        <v>-6698</v>
      </c>
      <c r="D41" s="45" t="n">
        <v>-30321</v>
      </c>
      <c r="E41" s="45" t="n">
        <v>-51291</v>
      </c>
      <c r="F41" s="45" t="n">
        <v>-69006</v>
      </c>
      <c r="G41" s="45" t="n">
        <v>-82296</v>
      </c>
    </row>
    <row r="42" customFormat="false" ht="15" hidden="false" customHeight="false" outlineLevel="0" collapsed="false">
      <c r="A42" s="13" t="s">
        <v>241</v>
      </c>
      <c r="B42" s="16" t="n">
        <v>157671</v>
      </c>
      <c r="C42" s="16" t="n">
        <v>140171</v>
      </c>
      <c r="D42" s="16" t="n">
        <v>116171</v>
      </c>
      <c r="E42" s="16" t="n">
        <v>94871</v>
      </c>
      <c r="F42" s="16" t="n">
        <v>76871</v>
      </c>
      <c r="G42" s="16" t="n">
        <v>63371</v>
      </c>
    </row>
    <row r="43" customFormat="false" ht="15" hidden="false" customHeight="false" outlineLevel="0" collapsed="false">
      <c r="A43" s="13" t="s">
        <v>242</v>
      </c>
      <c r="B43" s="14" t="n">
        <v>145</v>
      </c>
      <c r="C43" s="14" t="n">
        <v>145</v>
      </c>
      <c r="D43" s="14" t="n">
        <v>145</v>
      </c>
      <c r="E43" s="14" t="n">
        <v>145</v>
      </c>
      <c r="F43" s="14" t="n">
        <v>145</v>
      </c>
      <c r="G43" s="14" t="n">
        <v>145</v>
      </c>
    </row>
    <row r="44" customFormat="false" ht="15" hidden="false" customHeight="false" outlineLevel="0" collapsed="false">
      <c r="A44" s="9" t="s">
        <v>243</v>
      </c>
      <c r="B44" s="47" t="n">
        <v>40847</v>
      </c>
      <c r="C44" s="47" t="n">
        <v>23623</v>
      </c>
      <c r="D44" s="47" t="n">
        <v>0</v>
      </c>
      <c r="E44" s="46" t="n">
        <v>-20970</v>
      </c>
      <c r="F44" s="46" t="n">
        <v>-38685</v>
      </c>
      <c r="G44" s="46" t="n">
        <v>-51975</v>
      </c>
    </row>
    <row r="46" customFormat="false" ht="15" hidden="false" customHeight="false" outlineLevel="0" collapsed="false">
      <c r="A46" s="3" t="s">
        <v>248</v>
      </c>
      <c r="B46" s="4"/>
      <c r="C46" s="4"/>
      <c r="D46" s="4"/>
      <c r="E46" s="4"/>
      <c r="F46" s="4"/>
      <c r="G46" s="4"/>
    </row>
    <row r="47" customFormat="false" ht="15" hidden="false" customHeight="false" outlineLevel="0" collapsed="false">
      <c r="A47" s="5" t="s">
        <v>239</v>
      </c>
      <c r="B47" s="51" t="n">
        <v>0.5</v>
      </c>
      <c r="C47" s="51" t="n">
        <v>0.75</v>
      </c>
      <c r="D47" s="51" t="n">
        <v>1</v>
      </c>
      <c r="E47" s="52" t="n">
        <v>1.25</v>
      </c>
      <c r="F47" s="51" t="n">
        <v>1.5</v>
      </c>
      <c r="G47" s="51" t="n">
        <v>2</v>
      </c>
    </row>
    <row r="48" customFormat="false" ht="15" hidden="false" customHeight="false" outlineLevel="0" collapsed="false">
      <c r="A48" s="5" t="s">
        <v>240</v>
      </c>
      <c r="B48" s="45" t="n">
        <v>-28529</v>
      </c>
      <c r="C48" s="45" t="n">
        <v>-29125</v>
      </c>
      <c r="D48" s="45" t="n">
        <v>-29723</v>
      </c>
      <c r="E48" s="45" t="n">
        <v>-30321</v>
      </c>
      <c r="F48" s="45" t="n">
        <v>-30917</v>
      </c>
      <c r="G48" s="45" t="n">
        <v>-32114</v>
      </c>
    </row>
    <row r="49" customFormat="false" ht="15" hidden="false" customHeight="false" outlineLevel="0" collapsed="false">
      <c r="A49" s="13" t="s">
        <v>241</v>
      </c>
      <c r="B49" s="16" t="n">
        <v>116171</v>
      </c>
      <c r="C49" s="16" t="n">
        <v>116171</v>
      </c>
      <c r="D49" s="16" t="n">
        <v>116171</v>
      </c>
      <c r="E49" s="16" t="n">
        <v>116171</v>
      </c>
      <c r="F49" s="16" t="n">
        <v>116171</v>
      </c>
      <c r="G49" s="16" t="n">
        <v>116171</v>
      </c>
    </row>
    <row r="50" customFormat="false" ht="15" hidden="false" customHeight="false" outlineLevel="0" collapsed="false">
      <c r="A50" s="13" t="s">
        <v>242</v>
      </c>
      <c r="B50" s="14" t="n">
        <v>145</v>
      </c>
      <c r="C50" s="14" t="n">
        <v>145</v>
      </c>
      <c r="D50" s="14" t="n">
        <v>145</v>
      </c>
      <c r="E50" s="14" t="n">
        <v>145</v>
      </c>
      <c r="F50" s="14" t="n">
        <v>145</v>
      </c>
      <c r="G50" s="14" t="n">
        <v>145</v>
      </c>
    </row>
    <row r="51" customFormat="false" ht="15" hidden="false" customHeight="false" outlineLevel="0" collapsed="false">
      <c r="A51" s="9" t="s">
        <v>243</v>
      </c>
      <c r="B51" s="47" t="n">
        <v>1792</v>
      </c>
      <c r="C51" s="47" t="n">
        <v>1196</v>
      </c>
      <c r="D51" s="47" t="n">
        <v>598</v>
      </c>
      <c r="E51" s="47" t="n">
        <v>0</v>
      </c>
      <c r="F51" s="46" t="n">
        <v>-596</v>
      </c>
      <c r="G51" s="46" t="n">
        <v>-1793</v>
      </c>
    </row>
    <row r="53" customFormat="false" ht="15" hidden="false" customHeight="false" outlineLevel="0" collapsed="false">
      <c r="A53" s="3" t="s">
        <v>249</v>
      </c>
      <c r="B53" s="4"/>
      <c r="C53" s="4"/>
      <c r="D53" s="4"/>
      <c r="E53" s="4"/>
      <c r="F53" s="4"/>
      <c r="G53" s="4"/>
    </row>
    <row r="54" customFormat="false" ht="15" hidden="false" customHeight="false" outlineLevel="0" collapsed="false">
      <c r="A54" s="5" t="s">
        <v>239</v>
      </c>
      <c r="B54" s="48" t="n">
        <v>150</v>
      </c>
      <c r="C54" s="48" t="n">
        <v>250</v>
      </c>
      <c r="D54" s="49" t="n">
        <v>400</v>
      </c>
      <c r="E54" s="48" t="n">
        <v>600</v>
      </c>
      <c r="F54" s="48" t="n">
        <v>800</v>
      </c>
      <c r="G54" s="48" t="n">
        <v>1000</v>
      </c>
    </row>
    <row r="55" customFormat="false" ht="15" hidden="false" customHeight="false" outlineLevel="0" collapsed="false">
      <c r="A55" s="5" t="s">
        <v>240</v>
      </c>
      <c r="B55" s="45" t="n">
        <v>-28584</v>
      </c>
      <c r="C55" s="45" t="n">
        <v>-29743</v>
      </c>
      <c r="D55" s="45" t="n">
        <v>-30321</v>
      </c>
      <c r="E55" s="45" t="n">
        <v>-30321</v>
      </c>
      <c r="F55" s="45" t="n">
        <v>-30321</v>
      </c>
      <c r="G55" s="45" t="n">
        <v>-30321</v>
      </c>
    </row>
    <row r="56" customFormat="false" ht="15" hidden="false" customHeight="false" outlineLevel="0" collapsed="false">
      <c r="A56" s="13" t="s">
        <v>241</v>
      </c>
      <c r="B56" s="16" t="n">
        <v>118159</v>
      </c>
      <c r="C56" s="16" t="n">
        <v>116833</v>
      </c>
      <c r="D56" s="16" t="n">
        <v>116171</v>
      </c>
      <c r="E56" s="16" t="n">
        <v>116171</v>
      </c>
      <c r="F56" s="16" t="n">
        <v>116171</v>
      </c>
      <c r="G56" s="16" t="n">
        <v>116171</v>
      </c>
    </row>
    <row r="57" customFormat="false" ht="15" hidden="false" customHeight="false" outlineLevel="0" collapsed="false">
      <c r="A57" s="13" t="s">
        <v>242</v>
      </c>
      <c r="B57" s="14" t="n">
        <v>138</v>
      </c>
      <c r="C57" s="14" t="n">
        <v>178</v>
      </c>
      <c r="D57" s="14" t="n">
        <v>145</v>
      </c>
      <c r="E57" s="14" t="n">
        <v>145</v>
      </c>
      <c r="F57" s="14" t="n">
        <v>145</v>
      </c>
      <c r="G57" s="14" t="n">
        <v>145</v>
      </c>
    </row>
    <row r="58" customFormat="false" ht="15" hidden="false" customHeight="false" outlineLevel="0" collapsed="false">
      <c r="A58" s="9" t="s">
        <v>243</v>
      </c>
      <c r="B58" s="47" t="n">
        <v>1737</v>
      </c>
      <c r="C58" s="47" t="n">
        <v>578</v>
      </c>
      <c r="D58" s="47" t="n">
        <v>0</v>
      </c>
      <c r="E58" s="47" t="n">
        <v>0</v>
      </c>
      <c r="F58" s="47" t="n">
        <v>0</v>
      </c>
      <c r="G58" s="47" t="n">
        <v>0</v>
      </c>
    </row>
    <row r="60" customFormat="false" ht="15" hidden="false" customHeight="false" outlineLevel="0" collapsed="false">
      <c r="A60" s="3" t="s">
        <v>250</v>
      </c>
      <c r="B60" s="4"/>
      <c r="C60" s="4"/>
      <c r="D60" s="4"/>
      <c r="E60" s="4"/>
      <c r="F60" s="4"/>
      <c r="G60" s="4"/>
    </row>
    <row r="61" customFormat="false" ht="15" hidden="false" customHeight="false" outlineLevel="0" collapsed="false">
      <c r="A61" s="5" t="s">
        <v>239</v>
      </c>
      <c r="B61" s="53" t="n">
        <v>0</v>
      </c>
      <c r="C61" s="53" t="n">
        <v>1000</v>
      </c>
      <c r="D61" s="54" t="n">
        <v>2000</v>
      </c>
      <c r="E61" s="53" t="n">
        <v>3000</v>
      </c>
      <c r="F61" s="53" t="n">
        <v>4000</v>
      </c>
      <c r="G61" s="53" t="n">
        <v>5000</v>
      </c>
    </row>
    <row r="62" customFormat="false" ht="15" hidden="false" customHeight="false" outlineLevel="0" collapsed="false">
      <c r="A62" s="5" t="s">
        <v>240</v>
      </c>
      <c r="B62" s="45" t="n">
        <v>-18321</v>
      </c>
      <c r="C62" s="45" t="n">
        <v>-24321</v>
      </c>
      <c r="D62" s="45" t="n">
        <v>-30321</v>
      </c>
      <c r="E62" s="45" t="n">
        <v>-36321</v>
      </c>
      <c r="F62" s="45" t="n">
        <v>-42321</v>
      </c>
      <c r="G62" s="45" t="n">
        <v>-48321</v>
      </c>
    </row>
    <row r="63" customFormat="false" ht="15" hidden="false" customHeight="false" outlineLevel="0" collapsed="false">
      <c r="A63" s="13" t="s">
        <v>241</v>
      </c>
      <c r="B63" s="16" t="n">
        <v>116171</v>
      </c>
      <c r="C63" s="16" t="n">
        <v>116171</v>
      </c>
      <c r="D63" s="16" t="n">
        <v>116171</v>
      </c>
      <c r="E63" s="16" t="n">
        <v>116171</v>
      </c>
      <c r="F63" s="16" t="n">
        <v>116171</v>
      </c>
      <c r="G63" s="16" t="n">
        <v>116171</v>
      </c>
    </row>
    <row r="64" customFormat="false" ht="15" hidden="false" customHeight="false" outlineLevel="0" collapsed="false">
      <c r="A64" s="13" t="s">
        <v>242</v>
      </c>
      <c r="B64" s="14" t="n">
        <v>145</v>
      </c>
      <c r="C64" s="14" t="n">
        <v>145</v>
      </c>
      <c r="D64" s="14" t="n">
        <v>145</v>
      </c>
      <c r="E64" s="14" t="n">
        <v>145</v>
      </c>
      <c r="F64" s="14" t="n">
        <v>145</v>
      </c>
      <c r="G64" s="14" t="n">
        <v>145</v>
      </c>
    </row>
    <row r="65" customFormat="false" ht="15" hidden="false" customHeight="false" outlineLevel="0" collapsed="false">
      <c r="A65" s="9" t="s">
        <v>243</v>
      </c>
      <c r="B65" s="47" t="n">
        <v>12000</v>
      </c>
      <c r="C65" s="47" t="n">
        <v>6000</v>
      </c>
      <c r="D65" s="47" t="n">
        <v>0</v>
      </c>
      <c r="E65" s="46" t="n">
        <v>-6000</v>
      </c>
      <c r="F65" s="46" t="n">
        <v>-12000</v>
      </c>
      <c r="G65" s="46" t="n">
        <v>-18000</v>
      </c>
    </row>
    <row r="68" customFormat="false" ht="16.15" hidden="false" customHeight="false" outlineLevel="0" collapsed="false">
      <c r="A68" s="55" t="s">
        <v>251</v>
      </c>
      <c r="B68" s="4"/>
      <c r="C68" s="4"/>
      <c r="D68" s="4"/>
      <c r="E68" s="4"/>
    </row>
    <row r="69" customFormat="false" ht="15" hidden="false" customHeight="false" outlineLevel="0" collapsed="false">
      <c r="A69" s="11" t="s">
        <v>252</v>
      </c>
      <c r="B69" s="11" t="s">
        <v>253</v>
      </c>
      <c r="C69" s="11" t="s">
        <v>254</v>
      </c>
      <c r="D69" s="11" t="s">
        <v>255</v>
      </c>
      <c r="E69" s="11" t="s">
        <v>256</v>
      </c>
    </row>
    <row r="70" customFormat="false" ht="15" hidden="false" customHeight="false" outlineLevel="0" collapsed="false">
      <c r="A70" s="56" t="n">
        <v>1</v>
      </c>
      <c r="B70" s="34" t="s">
        <v>247</v>
      </c>
      <c r="C70" s="57" t="n">
        <v>-82296</v>
      </c>
      <c r="D70" s="58" t="n">
        <v>10526</v>
      </c>
      <c r="E70" s="59" t="n">
        <v>92822</v>
      </c>
    </row>
    <row r="71" customFormat="false" ht="15" hidden="false" customHeight="false" outlineLevel="0" collapsed="false">
      <c r="A71" s="60" t="n">
        <v>2</v>
      </c>
      <c r="B71" s="13" t="s">
        <v>245</v>
      </c>
      <c r="C71" s="24" t="n">
        <v>-42890</v>
      </c>
      <c r="D71" s="38" t="n">
        <v>13058</v>
      </c>
      <c r="E71" s="61" t="n">
        <v>55948</v>
      </c>
    </row>
    <row r="72" customFormat="false" ht="15" hidden="false" customHeight="false" outlineLevel="0" collapsed="false">
      <c r="A72" s="56" t="n">
        <v>3</v>
      </c>
      <c r="B72" s="34" t="s">
        <v>250</v>
      </c>
      <c r="C72" s="57" t="n">
        <v>-48321</v>
      </c>
      <c r="D72" s="58" t="n">
        <v>-18321</v>
      </c>
      <c r="E72" s="59" t="n">
        <v>30000</v>
      </c>
    </row>
    <row r="73" customFormat="false" ht="15" hidden="false" customHeight="false" outlineLevel="0" collapsed="false">
      <c r="A73" s="60" t="n">
        <v>4</v>
      </c>
      <c r="B73" s="13" t="s">
        <v>246</v>
      </c>
      <c r="C73" s="24" t="n">
        <v>-36780</v>
      </c>
      <c r="D73" s="38" t="n">
        <v>-17395</v>
      </c>
      <c r="E73" s="61" t="n">
        <v>19385</v>
      </c>
    </row>
    <row r="74" customFormat="false" ht="15" hidden="false" customHeight="false" outlineLevel="0" collapsed="false">
      <c r="A74" s="56" t="n">
        <v>5</v>
      </c>
      <c r="B74" s="34" t="s">
        <v>244</v>
      </c>
      <c r="C74" s="57" t="n">
        <v>-33924</v>
      </c>
      <c r="D74" s="58" t="n">
        <v>-18203</v>
      </c>
      <c r="E74" s="59" t="n">
        <v>15721</v>
      </c>
    </row>
    <row r="75" customFormat="false" ht="15" hidden="false" customHeight="false" outlineLevel="0" collapsed="false">
      <c r="A75" s="60" t="n">
        <v>6</v>
      </c>
      <c r="B75" s="13" t="s">
        <v>143</v>
      </c>
      <c r="C75" s="24" t="n">
        <v>-36109</v>
      </c>
      <c r="D75" s="38" t="n">
        <v>-25827</v>
      </c>
      <c r="E75" s="61" t="n">
        <v>10282</v>
      </c>
    </row>
    <row r="76" customFormat="false" ht="15" hidden="false" customHeight="false" outlineLevel="0" collapsed="false">
      <c r="A76" s="56" t="n">
        <v>7</v>
      </c>
      <c r="B76" s="34" t="s">
        <v>238</v>
      </c>
      <c r="C76" s="57" t="n">
        <v>-31720</v>
      </c>
      <c r="D76" s="58" t="n">
        <v>-27061</v>
      </c>
      <c r="E76" s="59" t="n">
        <v>4659</v>
      </c>
    </row>
    <row r="77" customFormat="false" ht="15" hidden="false" customHeight="false" outlineLevel="0" collapsed="false">
      <c r="A77" s="60" t="n">
        <v>8</v>
      </c>
      <c r="B77" s="13" t="s">
        <v>248</v>
      </c>
      <c r="C77" s="24" t="n">
        <v>-32114</v>
      </c>
      <c r="D77" s="38" t="n">
        <v>-28529</v>
      </c>
      <c r="E77" s="61" t="n">
        <v>3585</v>
      </c>
    </row>
    <row r="78" customFormat="false" ht="15" hidden="false" customHeight="false" outlineLevel="0" collapsed="false">
      <c r="A78" s="56" t="n">
        <v>9</v>
      </c>
      <c r="B78" s="34" t="s">
        <v>249</v>
      </c>
      <c r="C78" s="57" t="n">
        <v>-30321</v>
      </c>
      <c r="D78" s="58" t="n">
        <v>-28584</v>
      </c>
      <c r="E78" s="59" t="n">
        <v>1737</v>
      </c>
    </row>
    <row r="81" customFormat="false" ht="15" hidden="false" customHeight="false" outlineLevel="0" collapsed="false">
      <c r="A81" s="62" t="s">
        <v>257</v>
      </c>
      <c r="B81" s="62"/>
      <c r="C81" s="62"/>
      <c r="D81" s="62"/>
      <c r="E81" s="62"/>
      <c r="F81" s="62"/>
      <c r="G81" s="62"/>
      <c r="H81" s="62"/>
    </row>
    <row r="82" customFormat="false" ht="15" hidden="false" customHeight="false" outlineLevel="0" collapsed="false">
      <c r="A82" s="62" t="s">
        <v>258</v>
      </c>
      <c r="B82" s="62"/>
      <c r="C82" s="62"/>
      <c r="D82" s="62"/>
      <c r="E82" s="62"/>
      <c r="F82" s="62"/>
      <c r="G82" s="62"/>
      <c r="H82" s="62"/>
    </row>
    <row r="83" customFormat="false" ht="15" hidden="false" customHeight="false" outlineLevel="0" collapsed="false">
      <c r="A83" s="62" t="s">
        <v>259</v>
      </c>
      <c r="B83" s="62"/>
      <c r="C83" s="62"/>
      <c r="D83" s="62"/>
      <c r="E83" s="62"/>
      <c r="F83" s="62"/>
      <c r="G83" s="62"/>
      <c r="H83" s="62"/>
    </row>
    <row r="84" customFormat="false" ht="15" hidden="false" customHeight="false" outlineLevel="0" collapsed="false">
      <c r="A84" s="62" t="s">
        <v>260</v>
      </c>
      <c r="B84" s="62"/>
      <c r="C84" s="62"/>
      <c r="D84" s="62"/>
      <c r="E84" s="62"/>
      <c r="F84" s="62"/>
      <c r="G84" s="62"/>
      <c r="H84" s="62"/>
    </row>
    <row r="85" customFormat="false" ht="15" hidden="false" customHeight="false" outlineLevel="0" collapsed="false">
      <c r="A85" s="62" t="s">
        <v>261</v>
      </c>
      <c r="B85" s="62"/>
      <c r="C85" s="62"/>
      <c r="D85" s="62"/>
      <c r="E85" s="62"/>
      <c r="F85" s="62"/>
      <c r="G85" s="62"/>
      <c r="H85" s="62"/>
    </row>
  </sheetData>
  <mergeCells count="5">
    <mergeCell ref="A81:H81"/>
    <mergeCell ref="A82:H82"/>
    <mergeCell ref="A83:H83"/>
    <mergeCell ref="A84:H84"/>
    <mergeCell ref="A85:H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2026-02-26T16:28:17Z</dcterms:created>
  <dc:creator>openpyxl</dc:creator>
  <dc:description/>
  <dc:language>en-US</dc:language>
  <cp:lastModifiedBy/>
  <dcterms:modified xsi:type="dcterms:W3CDTF">2026-02-26T16:28:17Z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