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P&amp;L" sheetId="2" state="visible" r:id="rId4"/>
    <sheet name="Formulas" sheetId="3" state="visible" r:id="rId5"/>
    <sheet name="Unit Economics" sheetId="4" state="visible" r:id="rId6"/>
    <sheet name="Scenario Analysis" sheetId="5" state="visible" r:id="rId7"/>
    <sheet name="Cash Flow Summary" sheetId="6" state="visible" r:id="rId8"/>
    <sheet name="Sensitivity Analysi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<sst xmlns="http://schemas.openxmlformats.org/spreadsheetml/2006/main" count="565" uniqueCount="452">
  <si>
    <t xml:space="preserve">WAYPOINT FINANCIAL MODEL V3 — FORMULA-DRIVEN</t>
  </si>
  <si>
    <t xml:space="preserve">Feb 2026 | Blue cells = editable inputs. Monthly P&amp;L auto-calculates from these. Col D = formula reference keys.</t>
  </si>
  <si>
    <t xml:space="preserve">PRICING</t>
  </si>
  <si>
    <t xml:space="preserve">Navigator tier (monthly)</t>
  </si>
  <si>
    <t xml:space="preserve">NAV_PRICE</t>
  </si>
  <si>
    <t xml:space="preserve">Navigator Pro tier (monthly)</t>
  </si>
  <si>
    <t xml:space="preserve">PRO_PRICE</t>
  </si>
  <si>
    <t xml:space="preserve">Pro tier % of paid subscribers</t>
  </si>
  <si>
    <t xml:space="preserve">PRO_PCT</t>
  </si>
  <si>
    <t xml:space="preserve">IEPClarity avg purchase price</t>
  </si>
  <si>
    <t xml:space="preserve">$29-69 range</t>
  </si>
  <si>
    <t xml:space="preserve">IEP_AVG</t>
  </si>
  <si>
    <t xml:space="preserve">RC reimbursement per user/month</t>
  </si>
  <si>
    <t xml:space="preserve">Blended ARPU (same as consumer). RC pays, family pays $0.</t>
  </si>
  <si>
    <t xml:space="preserve">RC_RATE</t>
  </si>
  <si>
    <t xml:space="preserve">B2B provider listing (monthly)</t>
  </si>
  <si>
    <t xml:space="preserve">B2B_RATE</t>
  </si>
  <si>
    <t xml:space="preserve">SUBSCRIBER GROWTH</t>
  </si>
  <si>
    <t xml:space="preserve">Month 1 new paid subscribers</t>
  </si>
  <si>
    <t xml:space="preserve">Solo founder, organic only</t>
  </si>
  <si>
    <t xml:space="preserve">BASE_NEW</t>
  </si>
  <si>
    <t xml:space="preserve">Monthly growth rate (Mo 1-6)</t>
  </si>
  <si>
    <t xml:space="preserve">FB groups, Reddit, personal network</t>
  </si>
  <si>
    <t xml:space="preserve">GROW_1_6</t>
  </si>
  <si>
    <t xml:space="preserve">Monthly growth rate (Mo 7-12)</t>
  </si>
  <si>
    <t xml:space="preserve">IEPClarity funnel + advocates</t>
  </si>
  <si>
    <t xml:space="preserve">GROW_7_12</t>
  </si>
  <si>
    <t xml:space="preserve">Monthly growth rate (Mo 13-18)</t>
  </si>
  <si>
    <t xml:space="preserve">GROW_13_18</t>
  </si>
  <si>
    <t xml:space="preserve">Monthly growth rate (Mo 19-24)</t>
  </si>
  <si>
    <t xml:space="preserve">GROW_19_24</t>
  </si>
  <si>
    <t xml:space="preserve">Monthly churn rate</t>
  </si>
  <si>
    <t xml:space="preserve">7% = realistic pre-PMF</t>
  </si>
  <si>
    <t xml:space="preserve">CHURN</t>
  </si>
  <si>
    <t xml:space="preserve">Organic subscriber ceiling (logistic cap)</t>
  </si>
  <si>
    <t xml:space="preserve">Channels saturate ~400 subs w/o paid acq</t>
  </si>
  <si>
    <t xml:space="preserve">SUB_CAP</t>
  </si>
  <si>
    <t xml:space="preserve">RC REIMBURSEMENT</t>
  </si>
  <si>
    <t xml:space="preserve">RC pilot start month</t>
  </si>
  <si>
    <t xml:space="preserve">Month 9: RC bureaucracy</t>
  </si>
  <si>
    <t xml:space="preserve">RC_START</t>
  </si>
  <si>
    <t xml:space="preserve">Initial RC users (pilot)</t>
  </si>
  <si>
    <t xml:space="preserve">Small pilot</t>
  </si>
  <si>
    <t xml:space="preserve">RC_INIT</t>
  </si>
  <si>
    <t xml:space="preserve">RC monthly growth rate (early)</t>
  </si>
  <si>
    <t xml:space="preserve">20% monthly = institutional adoption curve</t>
  </si>
  <si>
    <t xml:space="preserve">RC_GROW_PCT</t>
  </si>
  <si>
    <t xml:space="preserve">RC monthly growth rate (Mo 13+)</t>
  </si>
  <si>
    <t xml:space="preserve">15% = maturation after initial rollout</t>
  </si>
  <si>
    <t xml:space="preserve">RC_GROW_PCT_13</t>
  </si>
  <si>
    <t xml:space="preserve">RC monthly churn rate</t>
  </si>
  <si>
    <t xml:space="preserve">3% = institutional stickiness</t>
  </si>
  <si>
    <t xml:space="preserve">RC_CHURN</t>
  </si>
  <si>
    <t xml:space="preserve">IEPCLARITY FEEDER</t>
  </si>
  <si>
    <t xml:space="preserve">IEPClarity launch month</t>
  </si>
  <si>
    <t xml:space="preserve">IEP_START</t>
  </si>
  <si>
    <t xml:space="preserve">IEPClarity monthly new customers (base)</t>
  </si>
  <si>
    <t xml:space="preserve">Steady monthly volume</t>
  </si>
  <si>
    <t xml:space="preserve">IEP_BASE</t>
  </si>
  <si>
    <t xml:space="preserve">IEPClarity monthly growth rate</t>
  </si>
  <si>
    <t xml:space="preserve">Grows 20%/mo from base</t>
  </si>
  <si>
    <t xml:space="preserve">IEP_GROW</t>
  </si>
  <si>
    <t xml:space="preserve">IEPClarity → Waypoint conversion</t>
  </si>
  <si>
    <t xml:space="preserve">5% = unproven</t>
  </si>
  <si>
    <t xml:space="preserve">IEP_CONV</t>
  </si>
  <si>
    <t xml:space="preserve">B2B DIRECTORY</t>
  </si>
  <si>
    <t xml:space="preserve">B2B launch month</t>
  </si>
  <si>
    <t xml:space="preserve">B2B_START</t>
  </si>
  <si>
    <t xml:space="preserve">Initial B2B listings</t>
  </si>
  <si>
    <t xml:space="preserve">B2B_INIT</t>
  </si>
  <si>
    <t xml:space="preserve">Monthly B2B growth</t>
  </si>
  <si>
    <t xml:space="preserve">B2B_GROW</t>
  </si>
  <si>
    <t xml:space="preserve">VARIABLE COSTS</t>
  </si>
  <si>
    <t xml:space="preserve">Claude API cost per user/month</t>
  </si>
  <si>
    <t xml:space="preserve">$1.25 = buffer</t>
  </si>
  <si>
    <t xml:space="preserve">API_COST</t>
  </si>
  <si>
    <t xml:space="preserve">Infrastructure base (monthly)</t>
  </si>
  <si>
    <t xml:space="preserve">INFRA_BASE</t>
  </si>
  <si>
    <t xml:space="preserve">Infrastructure per-user</t>
  </si>
  <si>
    <t xml:space="preserve">INFRA_PER</t>
  </si>
  <si>
    <t xml:space="preserve">SMS cost per user/month</t>
  </si>
  <si>
    <t xml:space="preserve">SMS_PER</t>
  </si>
  <si>
    <t xml:space="preserve">FIXED COSTS</t>
  </si>
  <si>
    <t xml:space="preserve">Domain + SaaS tools (monthly)</t>
  </si>
  <si>
    <t xml:space="preserve">DOMAIN</t>
  </si>
  <si>
    <t xml:space="preserve">Marketing (Mo 1-6)</t>
  </si>
  <si>
    <t xml:space="preserve">MKTG_1_6</t>
  </si>
  <si>
    <t xml:space="preserve">Marketing (Mo 7-12)</t>
  </si>
  <si>
    <t xml:space="preserve">MKTG_7_12</t>
  </si>
  <si>
    <t xml:space="preserve">Marketing (Mo 13-24)</t>
  </si>
  <si>
    <t xml:space="preserve">MKTG_13_24</t>
  </si>
  <si>
    <t xml:space="preserve">KB Maintenance + Content (Mo 7+)</t>
  </si>
  <si>
    <t xml:space="preserve">$2,500 = KB accuracy + blog</t>
  </si>
  <si>
    <t xml:space="preserve">KB_CONTENT</t>
  </si>
  <si>
    <t xml:space="preserve">Legal/compliance (quarterly)</t>
  </si>
  <si>
    <t xml:space="preserve">HIPAA review</t>
  </si>
  <si>
    <t xml:space="preserve">LEGAL</t>
  </si>
  <si>
    <t xml:space="preserve">FOUNDER COMPENSATION</t>
  </si>
  <si>
    <t xml:space="preserve">Founder salary (Mo 1-6)</t>
  </si>
  <si>
    <t xml:space="preserve">Below-market; investing sweat equity</t>
  </si>
  <si>
    <t xml:space="preserve">SALARY_1_6</t>
  </si>
  <si>
    <t xml:space="preserve">Founder salary (Mo 7-12)</t>
  </si>
  <si>
    <t xml:space="preserve">SALARY_7_12</t>
  </si>
  <si>
    <t xml:space="preserve">Founder salary (Mo 13-24)</t>
  </si>
  <si>
    <t xml:space="preserve">SALARY_13_24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</si>
  <si>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</si>
  <si>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</si>
  <si>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</si>
  <si>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</si>
  <si>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</si>
  <si>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</si>
  <si>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</si>
  <si>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</si>
  <si>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</si>
  <si>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</si>
  <si>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</si>
  <si>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</si>
  <si>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</si>
  <si>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</si>
  <si>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</si>
  <si>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Jun 2027</t>
  </si>
  <si>
    <t xml:space="preserve">Jul 2027</t>
  </si>
  <si>
    <t xml:space="preserve">Aug 2027</t>
  </si>
  <si>
    <t xml:space="preserve">Sep 2027</t>
  </si>
  <si>
    <t xml:space="preserve">Oct 2027</t>
  </si>
  <si>
    <t xml:space="preserve">Nov 2027</t>
  </si>
  <si>
    <t xml:space="preserve">Dec 2027</t>
  </si>
  <si>
    <t xml:space="preserve">Jan 2028</t>
  </si>
  <si>
    <t xml:space="preserve">Feb 2028</t>
  </si>
  <si>
    <t xml:space="preserve">24-Mo Total</t>
  </si>
  <si>
    <t xml:space="preserve">SUBSCRIBER METRICS</t>
  </si>
  <si>
    <t xml:space="preserve">New Paid Subscribers</t>
  </si>
  <si>
    <t xml:space="preserve">Churned Subscribers</t>
  </si>
  <si>
    <t xml:space="preserve">Total Paid Subscribers</t>
  </si>
  <si>
    <t xml:space="preserve">RC Reimbursed Users</t>
  </si>
  <si>
    <t xml:space="preserve">IEPClarity New Purchases</t>
  </si>
  <si>
    <t xml:space="preserve">B2B Provider Listings</t>
  </si>
  <si>
    <t xml:space="preserve">REVENUE</t>
  </si>
  <si>
    <t xml:space="preserve">Consumer Subscription Revenue</t>
  </si>
  <si>
    <t xml:space="preserve">RC Reimbursement Revenue</t>
  </si>
  <si>
    <t xml:space="preserve">IEPClarity Revenue</t>
  </si>
  <si>
    <t xml:space="preserve">B2B Directory Revenue</t>
  </si>
  <si>
    <t xml:space="preserve">TOTAL REVENUE</t>
  </si>
  <si>
    <t xml:space="preserve">COSTS</t>
  </si>
  <si>
    <t xml:space="preserve">AI API Costs (Claude)</t>
  </si>
  <si>
    <t xml:space="preserve">Infrastructure (Vercel/Supabase)</t>
  </si>
  <si>
    <t xml:space="preserve">SMS Costs (Twilio)</t>
  </si>
  <si>
    <t xml:space="preserve">Domain + SaaS Tools</t>
  </si>
  <si>
    <t xml:space="preserve">Marketing</t>
  </si>
  <si>
    <t xml:space="preserve">KB Maintenance + Content</t>
  </si>
  <si>
    <t xml:space="preserve">Legal/Compliance</t>
  </si>
  <si>
    <t xml:space="preserve">Founder Salary</t>
  </si>
  <si>
    <t xml:space="preserve">TOTAL COSTS</t>
  </si>
  <si>
    <t xml:space="preserve">PROFITABILITY</t>
  </si>
  <si>
    <t xml:space="preserve">NET INCOME (incl founder comp)</t>
  </si>
  <si>
    <t xml:space="preserve">Gross Margin %</t>
  </si>
  <si>
    <t xml:space="preserve">Cumulative P&amp;L</t>
  </si>
  <si>
    <t xml:space="preserve">WAYPOINT MODEL FORMULAS REFERENCE</t>
  </si>
  <si>
    <t xml:space="preserve">All revenue and cost rows in Monthly P&amp;L are formula-driven from the Assumptions tab.</t>
  </si>
  <si>
    <t xml:space="preserve">Change any blue input on Assumptions tab → P&amp;L auto-updates.</t>
  </si>
  <si>
    <t xml:space="preserve">Line Item</t>
  </si>
  <si>
    <t xml:space="preserve">Formula</t>
  </si>
  <si>
    <t xml:space="preserve">Notes</t>
  </si>
  <si>
    <t xml:space="preserve"> SUBSCRIBER METRICS (NOW FORMULA-DRIVEN FROM ASSUMPTIONS)</t>
  </si>
  <si>
    <t xml:space="preserve"> =MIN(MAX(ROUND(BASE_NEW*(1+GrowthRate)^(mo-1)),BASE_NEW),50)</t>
  </si>
  <si>
    <t xml:space="preserve">NOW FORMULA. Growth rate = IF(mo&lt;=6,G16,IF(mo&lt;=12,G712,IF(mo&lt;=18,G1318,G1924)))</t>
  </si>
  <si>
    <t xml:space="preserve"> =ROUND(PrevMonth_TotalSubs * CHURN, 0)</t>
  </si>
  <si>
    <t xml:space="preserve">NOW FORMULA referencing Assumptions!CHURN</t>
  </si>
  <si>
    <t xml:space="preserve"> =IF(raw &lt; CAP*0.5, raw, MIN(raw, CAP)) where raw = prev + new - churned</t>
  </si>
  <si>
    <t xml:space="preserve">NOW FORMULA with soft cap from Assumptions!SUB_CAP</t>
  </si>
  <si>
    <t xml:space="preserve"> =IF(Mo&lt;RC_START,0,IF(Mo=RC_START,RC_INIT, prev+ROUND(prev*RC_GROW_PCT)-ROUND(prev*RC_CHURN)))</t>
  </si>
  <si>
    <t xml:space="preserve">NOW FORMULA. Pct-based growth like consumer subs, starts at RC_START</t>
  </si>
  <si>
    <t xml:space="preserve"> =IF(Mo&lt;IEP_START,0,MIN(MAX(1,ROUND(IEP_BASE*(1+IEP_GROW)^(Mo-IEP_START))),25))</t>
  </si>
  <si>
    <t xml:space="preserve">NOW FORMULA referencing Assumptions</t>
  </si>
  <si>
    <t xml:space="preserve"> =IF(Mo&lt;B2B_START,0,MIN(B2B_INIT+(Mo-B2B_START)*B2B_GROW,30))</t>
  </si>
  <si>
    <t xml:space="preserve">REVENUE (formula-driven from Assumptions)</t>
  </si>
  <si>
    <t xml:space="preserve"> =ROUND(totalsubs * (nav_price*(1-pro_pct) + pro_price*pro_pct), 0)</t>
  </si>
  <si>
    <t xml:space="preserve">Blended ARPU from Nav + Pro mix</t>
  </si>
  <si>
    <t xml:space="preserve"> =RC_Users * RC_RATE (where RC_RATE = blended ARPU, same as consumer)</t>
  </si>
  <si>
    <t xml:space="preserve">RC pays same ARPU as consumer. Family pays $0.</t>
  </si>
  <si>
    <t xml:space="preserve"> =iep_newpurchases * iep_avg</t>
  </si>
  <si>
    <t xml:space="preserve">One-time purchases, clean monthly</t>
  </si>
  <si>
    <t xml:space="preserve"> =b2b_listings * b2b_rate</t>
  </si>
  <si>
    <t xml:space="preserve"> =SUM(consumersub + rc + iep + b2b)</t>
  </si>
  <si>
    <t xml:space="preserve">COSTS (formula-driven from Assumptions)</t>
  </si>
  <si>
    <t xml:space="preserve">AI API Costs</t>
  </si>
  <si>
    <t xml:space="preserve"> =ROUND((totalsubs + rc_users) * api_cost, 0)</t>
  </si>
  <si>
    <t xml:space="preserve">All active users consume API</t>
  </si>
  <si>
    <t xml:space="preserve">Infrastructure</t>
  </si>
  <si>
    <t xml:space="preserve"> =ROUND(infra_base + (totalsubs + rc_users) * infra_per, 0)</t>
  </si>
  <si>
    <t xml:space="preserve">Base + per-user scaling</t>
  </si>
  <si>
    <t xml:space="preserve">SMS Costs</t>
  </si>
  <si>
    <t xml:space="preserve"> =ROUND((totalsubs + rc_users) * sms_per, 0)</t>
  </si>
  <si>
    <t xml:space="preserve"> =domain</t>
  </si>
  <si>
    <t xml:space="preserve">Flat monthly</t>
  </si>
  <si>
    <t xml:space="preserve"> =IF(mo&lt;=6, mktg_1_6, IF(mo&lt;=12, mktg_7_12, mktg_13_24))</t>
  </si>
  <si>
    <t xml:space="preserve">Tiered by growth phase</t>
  </si>
  <si>
    <t xml:space="preserve"> =IF(mo&gt;=7, kb_content, 0)</t>
  </si>
  <si>
    <t xml:space="preserve">Starts Month 7</t>
  </si>
  <si>
    <t xml:space="preserve"> =IF(MOD(month,3)=0, legal, 0)</t>
  </si>
  <si>
    <t xml:space="preserve">Quarterly</t>
  </si>
  <si>
    <t xml:space="preserve"> =IF(mo&lt;=6, salary_1_6, IF(mo&lt;=12, salary_7_12, salary_13_24))</t>
  </si>
  <si>
    <t xml:space="preserve">Tiered; change on Assumptions tab</t>
  </si>
  <si>
    <t xml:space="preserve"> =SUM(all cost rows)</t>
  </si>
  <si>
    <t xml:space="preserve">NET INCOME</t>
  </si>
  <si>
    <t xml:space="preserve"> =total_revenue - total_costs</t>
  </si>
  <si>
    <t xml:space="preserve">Includes founder comp</t>
  </si>
  <si>
    <t xml:space="preserve"> =IF(revenue=0, 0, (revenue - api - infra - sms) / revenue)</t>
  </si>
  <si>
    <t xml:space="preserve">COGS = variable costs only</t>
  </si>
  <si>
    <t xml:space="preserve"> =prevmonth_cumulative + thismonth_netincome</t>
  </si>
  <si>
    <t xml:space="preserve">Running total</t>
  </si>
  <si>
    <t xml:space="preserve">LOGISTIC CAP FUNCTION (Python-computed)</t>
  </si>
  <si>
    <t xml:space="preserve">logistic_cap(raw, cap)</t>
  </si>
  <si>
    <t xml:space="preserve">if raw &lt;= cap*0.5: return raw  # no effect below 50% of cap</t>
  </si>
  <si>
    <t xml:space="preserve">Soft ceiling, not hard cutoff</t>
  </si>
  <si>
    <t xml:space="preserve">else: excess = raw - cap*0.5; remaining = cap*0.5</t>
  </si>
  <si>
    <t xml:space="preserve">compressed = remaining * (1 - exp(-2*excess/remaining))</t>
  </si>
  <si>
    <t xml:space="preserve">return min(int(cap*0.5 + compressed), cap)</t>
  </si>
  <si>
    <t xml:space="preserve">At default 400, no effect until ~200 subs</t>
  </si>
  <si>
    <t xml:space="preserve">WAYPOINT UNIT ECONOMICS</t>
  </si>
  <si>
    <t xml:space="preserve">Metric</t>
  </si>
  <si>
    <t xml:space="preserve">Consumer (Nav)</t>
  </si>
  <si>
    <t xml:space="preserve">Consumer (Pro)</t>
  </si>
  <si>
    <t xml:space="preserve">RC Reimbursed</t>
  </si>
  <si>
    <t xml:space="preserve">Monthly Revenue / User</t>
  </si>
  <si>
    <t xml:space="preserve">$9.99</t>
  </si>
  <si>
    <t xml:space="preserve">$19.99</t>
  </si>
  <si>
    <t xml:space="preserve">$100.00</t>
  </si>
  <si>
    <t xml:space="preserve">AI API Cost / User / Mo</t>
  </si>
  <si>
    <t xml:space="preserve">$1.25</t>
  </si>
  <si>
    <t xml:space="preserve">$1.75</t>
  </si>
  <si>
    <t xml:space="preserve">Conservative buffer</t>
  </si>
  <si>
    <t xml:space="preserve">Infrastructure / User / Mo</t>
  </si>
  <si>
    <t xml:space="preserve">$0.20</t>
  </si>
  <si>
    <t xml:space="preserve">$0.25</t>
  </si>
  <si>
    <t xml:space="preserve">SMS / User / Mo</t>
  </si>
  <si>
    <t xml:space="preserve">$0.12</t>
  </si>
  <si>
    <t xml:space="preserve">Total Variable Cost / User / Mo</t>
  </si>
  <si>
    <t xml:space="preserve">$1.57</t>
  </si>
  <si>
    <t xml:space="preserve">$2.12</t>
  </si>
  <si>
    <t xml:space="preserve">Gross Profit / User / Mo</t>
  </si>
  <si>
    <t xml:space="preserve">$8.42</t>
  </si>
  <si>
    <t xml:space="preserve">$17.87</t>
  </si>
  <si>
    <t xml:space="preserve">$98.43</t>
  </si>
  <si>
    <t xml:space="preserve">Gross Margin</t>
  </si>
  <si>
    <t xml:space="preserve">84.3%</t>
  </si>
  <si>
    <t xml:space="preserve">89.4%</t>
  </si>
  <si>
    <t xml:space="preserve">98.4%</t>
  </si>
  <si>
    <t xml:space="preserve">Customer Acquisition Cost (CAC)</t>
  </si>
  <si>
    <t xml:space="preserve">$20-40</t>
  </si>
  <si>
    <t xml:space="preserve">~$0</t>
  </si>
  <si>
    <t xml:space="preserve">Conservative</t>
  </si>
  <si>
    <t xml:space="preserve">Monthly Churn Rate</t>
  </si>
  <si>
    <t xml:space="preserve">7.0%</t>
  </si>
  <si>
    <t xml:space="preserve">5.0%</t>
  </si>
  <si>
    <t xml:space="preserve">3.0%</t>
  </si>
  <si>
    <t xml:space="preserve">7% pre-PMF</t>
  </si>
  <si>
    <t xml:space="preserve">Avg Customer Lifetime (months)</t>
  </si>
  <si>
    <t xml:space="preserve">14</t>
  </si>
  <si>
    <t xml:space="preserve">20</t>
  </si>
  <si>
    <t xml:space="preserve">33</t>
  </si>
  <si>
    <t xml:space="preserve">Lifetime Value (LTV)</t>
  </si>
  <si>
    <t xml:space="preserve">$118</t>
  </si>
  <si>
    <t xml:space="preserve">$357</t>
  </si>
  <si>
    <t xml:space="preserve">$3,248</t>
  </si>
  <si>
    <t xml:space="preserve">LTV / CAC Ratio</t>
  </si>
  <si>
    <t xml:space="preserve">3-6x</t>
  </si>
  <si>
    <t xml:space="preserve">9-18x</t>
  </si>
  <si>
    <t xml:space="preserve">∞</t>
  </si>
  <si>
    <t xml:space="preserve">Months to Recover CAC</t>
  </si>
  <si>
    <t xml:space="preserve">2-5</t>
  </si>
  <si>
    <t xml:space="preserve">1-2</t>
  </si>
  <si>
    <t xml:space="preserve">0</t>
  </si>
  <si>
    <t xml:space="preserve">SCENARIO ANALYSIS — INCLUDES FOUNDER COMP</t>
  </si>
  <si>
    <t xml:space="preserve">All scenarios include founder salary. Default = Conservative.</t>
  </si>
  <si>
    <t xml:space="preserve">Conservative
(DEFAULT)</t>
  </si>
  <si>
    <t xml:space="preserve">Base Case</t>
  </si>
  <si>
    <t xml:space="preserve">Optimistic</t>
  </si>
  <si>
    <t xml:space="preserve">Key Driver</t>
  </si>
  <si>
    <t xml:space="preserve">24-MONTH OUTCOMES (incl founder salary)</t>
  </si>
  <si>
    <t xml:space="preserve">Paid subscribers (Mo 24)</t>
  </si>
  <si>
    <t xml:space="preserve">145</t>
  </si>
  <si>
    <t xml:space="preserve">300</t>
  </si>
  <si>
    <t xml:space="preserve">700</t>
  </si>
  <si>
    <t xml:space="preserve">RC reimbursed users (Mo 24)</t>
  </si>
  <si>
    <t xml:space="preserve">80</t>
  </si>
  <si>
    <t xml:space="preserve">125</t>
  </si>
  <si>
    <t xml:space="preserve">200</t>
  </si>
  <si>
    <t xml:space="preserve">Monthly revenue (Mo 24)</t>
  </si>
  <si>
    <t xml:space="preserve">$12,386</t>
  </si>
  <si>
    <t xml:space="preserve">$18,000</t>
  </si>
  <si>
    <t xml:space="preserve">$40,000</t>
  </si>
  <si>
    <t xml:space="preserve">Annual run rate (Mo 24)</t>
  </si>
  <si>
    <t xml:space="preserve">$148,632</t>
  </si>
  <si>
    <t xml:space="preserve">$216,000</t>
  </si>
  <si>
    <t xml:space="preserve">$480,000</t>
  </si>
  <si>
    <t xml:space="preserve">24-mo total revenue</t>
  </si>
  <si>
    <t xml:space="preserve">$116,171</t>
  </si>
  <si>
    <t xml:space="preserve">$120,000</t>
  </si>
  <si>
    <t xml:space="preserve">$280,000</t>
  </si>
  <si>
    <t xml:space="preserve">24-mo total costs (incl salary)</t>
  </si>
  <si>
    <t xml:space="preserve">$146,492</t>
  </si>
  <si>
    <t xml:space="preserve">$130,000</t>
  </si>
  <si>
    <t xml:space="preserve">$150,000</t>
  </si>
  <si>
    <t xml:space="preserve">Salary + KB = major line items</t>
  </si>
  <si>
    <t xml:space="preserve">24-mo net income</t>
  </si>
  <si>
    <t xml:space="preserve">$-30,321</t>
  </si>
  <si>
    <t xml:space="preserve">($10,000)</t>
  </si>
  <si>
    <t xml:space="preserve">Conservative case negative w/ salary</t>
  </si>
  <si>
    <t xml:space="preserve">Max cash needed (trough)</t>
  </si>
  <si>
    <t xml:space="preserve">$48,000</t>
  </si>
  <si>
    <t xml:space="preserve">$8,000</t>
  </si>
  <si>
    <t xml:space="preserve">Personal investment required</t>
  </si>
  <si>
    <t xml:space="preserve">BREAKEVEN (honest, with founder comp)</t>
  </si>
  <si>
    <t xml:space="preserve">Month of first profitability</t>
  </si>
  <si>
    <t xml:space="preserve">Month 16-18</t>
  </si>
  <si>
    <t xml:space="preserve">Month 14</t>
  </si>
  <si>
    <t xml:space="preserve">Month 6</t>
  </si>
  <si>
    <t xml:space="preserve">Salary pushes breakeven later</t>
  </si>
  <si>
    <t xml:space="preserve">Personal investment needed</t>
  </si>
  <si>
    <t xml:space="preserve">$45-50K</t>
  </si>
  <si>
    <t xml:space="preserve">$15-18K</t>
  </si>
  <si>
    <t xml:space="preserve">$5-8K</t>
  </si>
  <si>
    <t xml:space="preserve">All scenarios need seed cash</t>
  </si>
  <si>
    <t xml:space="preserve">External funding needed?</t>
  </si>
  <si>
    <t xml:space="preserve">No</t>
  </si>
  <si>
    <t xml:space="preserve">Bootstrappable with personal funds</t>
  </si>
  <si>
    <t xml:space="preserve">Q1 2026
(Mar-May)</t>
  </si>
  <si>
    <t xml:space="preserve">Q2 2026
(Jun-Aug)</t>
  </si>
  <si>
    <t xml:space="preserve">Q3 2026
(Sep-Nov)</t>
  </si>
  <si>
    <t xml:space="preserve">Q4 2026
(Dec-Feb)</t>
  </si>
  <si>
    <t xml:space="preserve">Q1 2027
(Mar-May)</t>
  </si>
  <si>
    <t xml:space="preserve">Q2 2027
(Jun-Aug)</t>
  </si>
  <si>
    <t xml:space="preserve">Q3 2027
(Sep-Nov)</t>
  </si>
  <si>
    <t xml:space="preserve">Q4 2027
(Dec-Feb)</t>
  </si>
  <si>
    <t xml:space="preserve">QUARTERLY SUMMARY (formula-driven from Monthly P&amp;L)</t>
  </si>
  <si>
    <t xml:space="preserve">Paid Subscribers (end)</t>
  </si>
  <si>
    <t xml:space="preserve">RC Users (end)</t>
  </si>
  <si>
    <t xml:space="preserve">Total Users (end)</t>
  </si>
  <si>
    <t xml:space="preserve">QUARTERLY REVENUE</t>
  </si>
  <si>
    <t xml:space="preserve">Domain + SaaS</t>
  </si>
  <si>
    <t xml:space="preserve">QUARTERLY COSTS</t>
  </si>
  <si>
    <t xml:space="preserve">QUARTERLY NET INCOME</t>
  </si>
  <si>
    <t xml:space="preserve">Cumulative Net Income</t>
  </si>
  <si>
    <t xml:space="preserve">Avg Gross Margin %</t>
  </si>
  <si>
    <t xml:space="preserve">CASH POSITION ANALYSIS</t>
  </si>
  <si>
    <t xml:space="preserve">Cash Needed (if cum &lt; 0)</t>
  </si>
  <si>
    <t xml:space="preserve">Quarter Profitable?</t>
  </si>
  <si>
    <t xml:space="preserve">REVENUE MIX (% of quarterly total)</t>
  </si>
  <si>
    <t xml:space="preserve">Consumer Subscription %</t>
  </si>
  <si>
    <t xml:space="preserve">RC Reimbursement %</t>
  </si>
  <si>
    <t xml:space="preserve">IEPClarity %</t>
  </si>
  <si>
    <t xml:space="preserve">B2B Directory %</t>
  </si>
  <si>
    <t xml:space="preserve">COST STRUCTURE (% of quarterly total)</t>
  </si>
  <si>
    <t xml:space="preserve">Variable Costs %</t>
  </si>
  <si>
    <t xml:space="preserve">Founder Salary %</t>
  </si>
  <si>
    <t xml:space="preserve">KB + Content %</t>
  </si>
  <si>
    <t xml:space="preserve">Marketing %</t>
  </si>
  <si>
    <t xml:space="preserve">Other Fixed %</t>
  </si>
  <si>
    <t xml:space="preserve">KEY METRICS (formula-driven)</t>
  </si>
  <si>
    <t xml:space="preserve">Peak Cash Need (max of all quarters)</t>
  </si>
  <si>
    <t xml:space="preserve">24-Month Cumulative P&amp;L</t>
  </si>
  <si>
    <t xml:space="preserve">24-Month Total Revenue</t>
  </si>
  <si>
    <t xml:space="preserve">24-Month Total Costs</t>
  </si>
  <si>
    <t xml:space="preserve">Total Founder Salary (24 mo)</t>
  </si>
  <si>
    <t xml:space="preserve">Salary as % of Total Costs</t>
  </si>
  <si>
    <t xml:space="preserve">All values are formulas referencing 'Monthly P&amp;L' sheet.</t>
  </si>
  <si>
    <t xml:space="preserve">Change any input on 'Assumptions' tab → P&amp;L updates → Cash Flow updates automatically.</t>
  </si>
  <si>
    <t xml:space="preserve">SENSITIVITY ANALYSIS</t>
  </si>
  <si>
    <t xml:space="preserve">SECTION 1: Live model output (formula-driven from Assumptions + Monthly P&amp;L)</t>
  </si>
  <si>
    <t xml:space="preserve">SECTION 2: Pre-computed scenario tables (what happens when you change ONE variable)</t>
  </si>
  <si>
    <t xml:space="preserve">LIVE MODEL OUTPUT (auto-updates from Assumptions)</t>
  </si>
  <si>
    <t xml:space="preserve">Current Value</t>
  </si>
  <si>
    <t xml:space="preserve">Formula Source</t>
  </si>
  <si>
    <t xml:space="preserve">Current Nav Price</t>
  </si>
  <si>
    <t xml:space="preserve">Assumptions!B5</t>
  </si>
  <si>
    <t xml:space="preserve">Current Pro Price</t>
  </si>
  <si>
    <t xml:space="preserve">Assumptions!B6</t>
  </si>
  <si>
    <t xml:space="preserve">Blended ARPU</t>
  </si>
  <si>
    <t xml:space="preserve">Nav*(1-ProPct)+Pro*ProPct</t>
  </si>
  <si>
    <t xml:space="preserve">Current Churn Rate</t>
  </si>
  <si>
    <t xml:space="preserve">Assumptions!B18</t>
  </si>
  <si>
    <t xml:space="preserve">Current API Cost/User</t>
  </si>
  <si>
    <t xml:space="preserve">Assumptions!B39</t>
  </si>
  <si>
    <t xml:space="preserve">Mo 24 Paid Subscribers</t>
  </si>
  <si>
    <t xml:space="preserve">P&amp;L row 5, col Y (Mo24)</t>
  </si>
  <si>
    <t xml:space="preserve">Mo 24 RC Users</t>
  </si>
  <si>
    <t xml:space="preserve">P&amp;L row 6, col Y</t>
  </si>
  <si>
    <t xml:space="preserve">Mo 24 Total Users</t>
  </si>
  <si>
    <t xml:space="preserve">Subs + RC</t>
  </si>
  <si>
    <t xml:space="preserve">Mo 24 Monthly Revenue</t>
  </si>
  <si>
    <t xml:space="preserve">P&amp;L Total Revenue Mo24</t>
  </si>
  <si>
    <t xml:space="preserve">Mo 24 Monthly Costs</t>
  </si>
  <si>
    <t xml:space="preserve">P&amp;L Total Costs Mo24</t>
  </si>
  <si>
    <t xml:space="preserve">Mo 24 Net Income</t>
  </si>
  <si>
    <t xml:space="preserve">P&amp;L Net Income Mo24</t>
  </si>
  <si>
    <t xml:space="preserve">Mo 24 Ann. Run Rate</t>
  </si>
  <si>
    <t xml:space="preserve">Mo24 Revenue × 12</t>
  </si>
  <si>
    <t xml:space="preserve">24-Mo Total Revenue</t>
  </si>
  <si>
    <t xml:space="preserve">P&amp;L Total col (Z), Revenue</t>
  </si>
  <si>
    <t xml:space="preserve">24-Mo Total Costs</t>
  </si>
  <si>
    <t xml:space="preserve">P&amp;L Total col (Z), Costs</t>
  </si>
  <si>
    <t xml:space="preserve">24-Mo Net Income</t>
  </si>
  <si>
    <t xml:space="preserve">P&amp;L Total col (Z), Net</t>
  </si>
  <si>
    <t xml:space="preserve">24-Mo Cumulative P&amp;L</t>
  </si>
  <si>
    <t xml:space="preserve">P&amp;L Cumulative row, Mo24</t>
  </si>
  <si>
    <t xml:space="preserve">Total Founder Salary</t>
  </si>
  <si>
    <t xml:space="preserve">P&amp;L Total col, Salary row</t>
  </si>
  <si>
    <t xml:space="preserve">Salary % of Costs</t>
  </si>
  <si>
    <t xml:space="preserve">Salary / Total Costs</t>
  </si>
  <si>
    <t xml:space="preserve">Avg Gross Margin</t>
  </si>
  <si>
    <t xml:space="preserve">Avg of GM% row</t>
  </si>
  <si>
    <t xml:space="preserve">Founder Salary Mo 1-6</t>
  </si>
  <si>
    <t xml:space="preserve">Assumptions!B53</t>
  </si>
  <si>
    <t xml:space="preserve">Founder Salary Mo 7-12</t>
  </si>
  <si>
    <t xml:space="preserve">Assumptions!B54</t>
  </si>
  <si>
    <t xml:space="preserve">Founder Salary Mo 13-24</t>
  </si>
  <si>
    <t xml:space="preserve">Assumptions!B55</t>
  </si>
  <si>
    <t xml:space="preserve">Monthly Salary (current Mo 1)</t>
  </si>
  <si>
    <t xml:space="preserve">P&amp;L Salary row, Mo1</t>
  </si>
  <si>
    <t xml:space="preserve">BREAKEVEN ANALYSIS (formula-driven)</t>
  </si>
  <si>
    <t xml:space="preserve">First Month Net &gt; 0</t>
  </si>
  <si>
    <t xml:space="preserve">MATCH finds first month where Net Income &gt; 0</t>
  </si>
  <si>
    <t xml:space="preserve">Peak Cash Need (personal investment)</t>
  </si>
  <si>
    <t xml:space="preserve">Negative of minimum cumulative P&amp;L</t>
  </si>
  <si>
    <t xml:space="preserve">Month of Peak Cash Need</t>
  </si>
  <si>
    <t xml:space="preserve">Month number where cumulative is lowest</t>
  </si>
  <si>
    <t xml:space="preserve">RC Revenue % of Mo24 Total</t>
  </si>
  <si>
    <t xml:space="preserve">Concentration risk: if &gt;70%, model depends on RC</t>
  </si>
  <si>
    <t xml:space="preserve">PRE-COMPUTED SCENARIO TABLES</t>
  </si>
  <si>
    <t xml:space="preserve">(Reference data — change Assumptions tab for live updates above)</t>
  </si>
  <si>
    <t xml:space="preserve">Mo 1-6 Growth Rate</t>
  </si>
  <si>
    <t xml:space="preserve">Input Value</t>
  </si>
  <si>
    <t xml:space="preserve">Month 24 Subscribers</t>
  </si>
  <si>
    <t xml:space="preserve">Δ vs Default</t>
  </si>
  <si>
    <t xml:space="preserve">Mo 7-12 Growth Rate</t>
  </si>
  <si>
    <t xml:space="preserve">Month 1 New Subscribers</t>
  </si>
  <si>
    <t xml:space="preserve">Navigator Price ($/mo)</t>
  </si>
  <si>
    <t xml:space="preserve">RC Pilot Start Month</t>
  </si>
  <si>
    <t xml:space="preserve">AI API Cost ($/user/mo)</t>
  </si>
  <si>
    <t xml:space="preserve">Organic Sub Ceiling</t>
  </si>
  <si>
    <t xml:space="preserve">SENSITIVITY RANKING</t>
  </si>
  <si>
    <t xml:space="preserve">Rank</t>
  </si>
  <si>
    <t xml:space="preserve">Variable</t>
  </si>
  <si>
    <t xml:space="preserve">Worst Net ($)</t>
  </si>
  <si>
    <t xml:space="preserve">Best Net ($)</t>
  </si>
  <si>
    <t xml:space="preserve">Swing ($)</t>
  </si>
  <si>
    <t xml:space="preserve">• SECTION 1 (Live Model Output) is 100% formula-driven: change Assumptions → values auto-update.</t>
  </si>
  <si>
    <t xml:space="preserve">• SECTION 2 (Scenario Tables) is pre-computed: shows what WOULD happen at each input level.</t>
  </si>
  <si>
    <t xml:space="preserve">• To test a scenario live: change the value on Assumptions tab, then check Section 1 results.</t>
  </si>
  <si>
    <t xml:space="preserve">• Founder salary tested at ALL three tiers. Mo 13-24 has largest swing (covers 12 months).</t>
  </si>
  <si>
    <t xml:space="preserve">• RC Pilot timing remains #1 non-salary sensitivity — validate this assumption first.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</si>
</sst>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"/>
    <numFmt numFmtId="166" formatCode="0.0%"/>
    <numFmt numFmtId="167" formatCode="\$#,##0"/>
    <numFmt numFmtId="168" formatCode="#,##0"/>
    <numFmt numFmtId="169" formatCode="\$#,##0;&quot;($&quot;#,##0\);\-"/>
    <numFmt numFmtId="170" formatCode="\$#,##0;&quot;($&quot;#,##0\);\-"/>
    <numFmt numFmtId="171" formatCode="General"/>
    <numFmt numFmtId="172" formatCode="\$#,##0.00"/>
    <numFmt numFmtId="173" formatCode="\$#,##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0"/>
      <color rgb="FF334155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94A3B8"/>
      <name val="Arial"/>
      <family val="0"/>
      <charset val="1"/>
    </font>
    <font>
      <i val="true"/>
      <sz val="9"/>
      <color rgb="FF64748B"/>
      <name val="Arial"/>
      <family val="0"/>
      <charset val="1"/>
    </font>
    <font>
      <sz val="10"/>
      <color rgb="FF7C3AE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341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891B2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b val="true"/>
      <sz val="14"/>
      <color rgb="FFDC2626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4"/>
      <color rgb="FF0891B2"/>
      <name val="Arial"/>
      <family val="0"/>
      <charset val="1"/>
    </font>
    <font>
      <i val="true"/>
      <sz val="9"/>
      <color rgb="FF0891B2"/>
      <name val="Arial"/>
      <family val="0"/>
      <charset val="1"/>
    </font>
    <font>
      <i val="true"/>
      <sz val="10"/>
      <color rgb="FF0891B2"/>
      <name val="Arial"/>
      <family val="0"/>
      <charset val="1"/>
    </font>
    <font>
      <b val="true"/>
      <sz val="12"/>
      <color rgb="FF0891B2"/>
      <name val="Arial"/>
      <family val="0"/>
      <charset val="1"/>
    </font>
    <font>
      <b val="true"/>
      <sz val="12"/>
      <color rgb="FFDC2626"/>
      <name val="Arial"/>
      <family val="0"/>
      <charset val="1"/>
    </font>
    <font>
      <b val="true"/>
      <sz val="12"/>
      <color rgb="FFD97706"/>
      <name val="Arial"/>
      <family val="0"/>
      <charset val="1"/>
    </font>
    <font>
      <i val="true"/>
      <sz val="9"/>
      <color rgb="FFDC2626"/>
      <name val="Arial"/>
      <family val="0"/>
      <charset val="1"/>
    </font>
    <font>
      <i val="true"/>
      <sz val="9"/>
      <color rgb="FF10B981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sz val="9"/>
      <color rgb="FF64748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E2E8F0"/>
        <bgColor rgb="FFE6F7EF"/>
      </patternFill>
    </fill>
    <fill>
      <patternFill patternType="solid">
        <fgColor rgb="FFFFFFCC"/>
        <bgColor rgb="FFFFFFFF"/>
      </patternFill>
    </fill>
    <fill>
      <patternFill patternType="solid">
        <fgColor rgb="FFE8DAFF"/>
        <bgColor rgb="FFE2E8F0"/>
      </patternFill>
    </fill>
    <fill>
      <patternFill patternType="solid">
        <fgColor rgb="FF1B2A4A"/>
        <bgColor rgb="FF334155"/>
      </patternFill>
    </fill>
    <fill>
      <patternFill patternType="solid">
        <fgColor rgb="FF10B981"/>
        <bgColor rgb="FF33CCCC"/>
      </patternFill>
    </fill>
    <fill>
      <patternFill patternType="solid">
        <fgColor rgb="FFE6F7EF"/>
        <bgColor rgb="FFF1F5F9"/>
      </patternFill>
    </fill>
    <fill>
      <patternFill patternType="solid">
        <fgColor rgb="FFF1F5F9"/>
        <bgColor rgb="FFE6F7EF"/>
      </patternFill>
    </fill>
    <fill>
      <patternFill patternType="solid">
        <fgColor rgb="FFFEE2E2"/>
        <bgColor rgb="FFE8DAFF"/>
      </patternFill>
    </fill>
    <fill>
      <patternFill patternType="solid">
        <fgColor rgb="FFBBF7D0"/>
        <bgColor rgb="FFE6F7E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medium">
        <color rgb="FF3341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91B2"/>
      <rgbColor rgb="FFE8DAFF"/>
      <rgbColor rgb="FF808080"/>
      <rgbColor rgb="FF8B5CF6"/>
      <rgbColor rgb="FF7C3AED"/>
      <rgbColor rgb="FFFFFFCC"/>
      <rgbColor rgb="FFE6F7E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BBF7D0"/>
      <rgbColor rgb="FFE2E8F0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D97706"/>
      <rgbColor rgb="FFF97316"/>
      <rgbColor rgb="FF64748B"/>
      <rgbColor rgb="FF94A3B8"/>
      <rgbColor rgb="FF1B2A4A"/>
      <rgbColor rgb="FF10B981"/>
      <rgbColor rgb="FF003300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D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8"/>
    <col collapsed="false" customWidth="true" hidden="false" outlineLevel="0" max="3" min="3" style="1" width="46"/>
    <col collapsed="false" customWidth="true" hidden="false" outlineLevel="0" max="4" min="4" style="1" width="1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  <c r="D4" s="5"/>
    </row>
    <row r="5" customFormat="false" ht="15" hidden="false" customHeight="true" outlineLevel="0" collapsed="false">
      <c r="A5" s="6" t="s">
        <v>3</v>
      </c>
      <c r="B5" s="7" t="n">
        <v>9.99</v>
      </c>
      <c r="D5" s="8" t="s">
        <v>4</v>
      </c>
    </row>
    <row r="6" customFormat="false" ht="15" hidden="false" customHeight="true" outlineLevel="0" collapsed="false">
      <c r="A6" s="6" t="s">
        <v>5</v>
      </c>
      <c r="B6" s="7" t="n">
        <v>19.99</v>
      </c>
      <c r="D6" s="8" t="s">
        <v>6</v>
      </c>
    </row>
    <row r="7" customFormat="false" ht="15" hidden="false" customHeight="true" outlineLevel="0" collapsed="false">
      <c r="A7" s="6" t="s">
        <v>7</v>
      </c>
      <c r="B7" s="9" t="n">
        <v>0.25</v>
      </c>
      <c r="D7" s="8" t="s">
        <v>8</v>
      </c>
    </row>
    <row r="8" customFormat="false" ht="15" hidden="false" customHeight="true" outlineLevel="0" collapsed="false">
      <c r="A8" s="6" t="s">
        <v>9</v>
      </c>
      <c r="B8" s="10" t="n">
        <v>39</v>
      </c>
      <c r="C8" s="11" t="s">
        <v>10</v>
      </c>
      <c r="D8" s="8" t="s">
        <v>11</v>
      </c>
    </row>
    <row r="9" customFormat="false" ht="15" hidden="false" customHeight="true" outlineLevel="0" collapsed="false">
      <c r="A9" s="6" t="s">
        <v>12</v>
      </c>
      <c r="B9" s="12" t="n">
        <f aca="false">B5*(1-B7)+B6*B7</f>
        <v>12.49</v>
      </c>
      <c r="C9" s="11" t="s">
        <v>13</v>
      </c>
      <c r="D9" s="8" t="s">
        <v>14</v>
      </c>
    </row>
    <row r="10" customFormat="false" ht="15" hidden="false" customHeight="true" outlineLevel="0" collapsed="false">
      <c r="A10" s="6" t="s">
        <v>15</v>
      </c>
      <c r="B10" s="10" t="n">
        <v>100</v>
      </c>
      <c r="D10" s="8" t="s">
        <v>16</v>
      </c>
    </row>
    <row r="12" customFormat="false" ht="15" hidden="false" customHeight="true" outlineLevel="0" collapsed="false">
      <c r="A12" s="4" t="s">
        <v>17</v>
      </c>
      <c r="B12" s="5"/>
      <c r="C12" s="5"/>
      <c r="D12" s="5"/>
    </row>
    <row r="13" customFormat="false" ht="15" hidden="false" customHeight="true" outlineLevel="0" collapsed="false">
      <c r="A13" s="6" t="s">
        <v>18</v>
      </c>
      <c r="B13" s="13" t="n">
        <v>3</v>
      </c>
      <c r="C13" s="11" t="s">
        <v>19</v>
      </c>
      <c r="D13" s="8" t="s">
        <v>20</v>
      </c>
    </row>
    <row r="14" customFormat="false" ht="15" hidden="false" customHeight="true" outlineLevel="0" collapsed="false">
      <c r="A14" s="6" t="s">
        <v>21</v>
      </c>
      <c r="B14" s="9" t="n">
        <v>0.25</v>
      </c>
      <c r="C14" s="11" t="s">
        <v>22</v>
      </c>
      <c r="D14" s="8" t="s">
        <v>23</v>
      </c>
    </row>
    <row r="15" customFormat="false" ht="15" hidden="false" customHeight="true" outlineLevel="0" collapsed="false">
      <c r="A15" s="6" t="s">
        <v>24</v>
      </c>
      <c r="B15" s="9" t="n">
        <v>0.15</v>
      </c>
      <c r="C15" s="11" t="s">
        <v>25</v>
      </c>
      <c r="D15" s="8" t="s">
        <v>26</v>
      </c>
    </row>
    <row r="16" customFormat="false" ht="15" hidden="false" customHeight="true" outlineLevel="0" collapsed="false">
      <c r="A16" s="6" t="s">
        <v>27</v>
      </c>
      <c r="B16" s="9" t="n">
        <v>0.1</v>
      </c>
      <c r="D16" s="8" t="s">
        <v>28</v>
      </c>
    </row>
    <row r="17" customFormat="false" ht="15" hidden="false" customHeight="true" outlineLevel="0" collapsed="false">
      <c r="A17" s="6" t="s">
        <v>29</v>
      </c>
      <c r="B17" s="9" t="n">
        <v>0.08</v>
      </c>
      <c r="D17" s="8" t="s">
        <v>30</v>
      </c>
    </row>
    <row r="18" customFormat="false" ht="15" hidden="false" customHeight="true" outlineLevel="0" collapsed="false">
      <c r="A18" s="6" t="s">
        <v>31</v>
      </c>
      <c r="B18" s="9" t="n">
        <v>0.07</v>
      </c>
      <c r="C18" s="11" t="s">
        <v>32</v>
      </c>
      <c r="D18" s="8" t="s">
        <v>33</v>
      </c>
    </row>
    <row r="19" customFormat="false" ht="15" hidden="false" customHeight="true" outlineLevel="0" collapsed="false">
      <c r="A19" s="6" t="s">
        <v>34</v>
      </c>
      <c r="B19" s="13" t="n">
        <v>400</v>
      </c>
      <c r="C19" s="11" t="s">
        <v>35</v>
      </c>
      <c r="D19" s="8" t="s">
        <v>36</v>
      </c>
    </row>
    <row r="21" customFormat="false" ht="15" hidden="false" customHeight="true" outlineLevel="0" collapsed="false">
      <c r="A21" s="4" t="s">
        <v>37</v>
      </c>
      <c r="B21" s="5"/>
      <c r="C21" s="5"/>
      <c r="D21" s="5"/>
    </row>
    <row r="22" customFormat="false" ht="15" hidden="false" customHeight="true" outlineLevel="0" collapsed="false">
      <c r="A22" s="6" t="s">
        <v>38</v>
      </c>
      <c r="B22" s="13" t="n">
        <v>9</v>
      </c>
      <c r="C22" s="11" t="s">
        <v>39</v>
      </c>
      <c r="D22" s="8" t="s">
        <v>40</v>
      </c>
    </row>
    <row r="23" customFormat="false" ht="15" hidden="false" customHeight="true" outlineLevel="0" collapsed="false">
      <c r="A23" s="6" t="s">
        <v>41</v>
      </c>
      <c r="B23" s="13" t="n">
        <v>5</v>
      </c>
      <c r="C23" s="11" t="s">
        <v>42</v>
      </c>
      <c r="D23" s="8" t="s">
        <v>43</v>
      </c>
    </row>
    <row r="24" customFormat="false" ht="15" hidden="false" customHeight="true" outlineLevel="0" collapsed="false">
      <c r="A24" s="6" t="s">
        <v>44</v>
      </c>
      <c r="B24" s="9" t="n">
        <v>0.2</v>
      </c>
      <c r="C24" s="14" t="s">
        <v>45</v>
      </c>
      <c r="D24" s="8" t="s">
        <v>46</v>
      </c>
    </row>
    <row r="25" customFormat="false" ht="15" hidden="false" customHeight="true" outlineLevel="0" collapsed="false">
      <c r="A25" s="6" t="s">
        <v>47</v>
      </c>
      <c r="B25" s="9" t="n">
        <v>0.15</v>
      </c>
      <c r="C25" s="14" t="s">
        <v>48</v>
      </c>
      <c r="D25" s="8" t="s">
        <v>49</v>
      </c>
    </row>
    <row r="26" customFormat="false" ht="15" hidden="false" customHeight="true" outlineLevel="0" collapsed="false">
      <c r="A26" s="6" t="s">
        <v>50</v>
      </c>
      <c r="B26" s="15" t="n">
        <v>0.03</v>
      </c>
      <c r="C26" s="11" t="s">
        <v>51</v>
      </c>
      <c r="D26" s="8" t="s">
        <v>52</v>
      </c>
    </row>
    <row r="27" customFormat="false" ht="15" hidden="false" customHeight="true" outlineLevel="0" collapsed="false">
      <c r="A27" s="4" t="s">
        <v>53</v>
      </c>
      <c r="B27" s="5"/>
      <c r="C27" s="5"/>
      <c r="D27" s="5"/>
    </row>
    <row r="28" customFormat="false" ht="15" hidden="false" customHeight="true" outlineLevel="0" collapsed="false">
      <c r="A28" s="6" t="s">
        <v>54</v>
      </c>
      <c r="B28" s="13" t="n">
        <v>3</v>
      </c>
      <c r="D28" s="8" t="s">
        <v>55</v>
      </c>
    </row>
    <row r="29" customFormat="false" ht="15" hidden="false" customHeight="true" outlineLevel="0" collapsed="false">
      <c r="A29" s="6" t="s">
        <v>56</v>
      </c>
      <c r="B29" s="13" t="n">
        <v>3</v>
      </c>
      <c r="C29" s="11" t="s">
        <v>57</v>
      </c>
      <c r="D29" s="8" t="s">
        <v>58</v>
      </c>
    </row>
    <row r="30" customFormat="false" ht="15" hidden="false" customHeight="true" outlineLevel="0" collapsed="false">
      <c r="A30" s="6" t="s">
        <v>59</v>
      </c>
      <c r="B30" s="9" t="n">
        <v>0.2</v>
      </c>
      <c r="C30" s="11" t="s">
        <v>60</v>
      </c>
      <c r="D30" s="8" t="s">
        <v>61</v>
      </c>
    </row>
    <row r="31" customFormat="false" ht="15" hidden="false" customHeight="true" outlineLevel="0" collapsed="false">
      <c r="A31" s="6" t="s">
        <v>62</v>
      </c>
      <c r="B31" s="9" t="n">
        <v>0.05</v>
      </c>
      <c r="C31" s="11" t="s">
        <v>63</v>
      </c>
      <c r="D31" s="8" t="s">
        <v>64</v>
      </c>
    </row>
    <row r="33" customFormat="false" ht="15" hidden="false" customHeight="true" outlineLevel="0" collapsed="false">
      <c r="A33" s="4" t="s">
        <v>65</v>
      </c>
      <c r="B33" s="5"/>
      <c r="C33" s="5"/>
      <c r="D33" s="5"/>
    </row>
    <row r="34" customFormat="false" ht="15" hidden="false" customHeight="true" outlineLevel="0" collapsed="false">
      <c r="A34" s="6" t="s">
        <v>66</v>
      </c>
      <c r="B34" s="13" t="n">
        <v>10</v>
      </c>
      <c r="D34" s="8" t="s">
        <v>67</v>
      </c>
    </row>
    <row r="35" customFormat="false" ht="15" hidden="false" customHeight="true" outlineLevel="0" collapsed="false">
      <c r="A35" s="6" t="s">
        <v>68</v>
      </c>
      <c r="B35" s="13" t="n">
        <v>2</v>
      </c>
      <c r="D35" s="8" t="s">
        <v>69</v>
      </c>
    </row>
    <row r="36" customFormat="false" ht="15" hidden="false" customHeight="true" outlineLevel="0" collapsed="false">
      <c r="A36" s="6" t="s">
        <v>70</v>
      </c>
      <c r="B36" s="13" t="n">
        <v>1</v>
      </c>
      <c r="D36" s="8" t="s">
        <v>71</v>
      </c>
    </row>
    <row r="38" customFormat="false" ht="15" hidden="false" customHeight="true" outlineLevel="0" collapsed="false">
      <c r="A38" s="4" t="s">
        <v>72</v>
      </c>
      <c r="B38" s="5"/>
      <c r="C38" s="5"/>
      <c r="D38" s="5"/>
    </row>
    <row r="39" customFormat="false" ht="15" hidden="false" customHeight="true" outlineLevel="0" collapsed="false">
      <c r="A39" s="6" t="s">
        <v>73</v>
      </c>
      <c r="B39" s="7" t="n">
        <v>1.25</v>
      </c>
      <c r="C39" s="11" t="s">
        <v>74</v>
      </c>
      <c r="D39" s="8" t="s">
        <v>75</v>
      </c>
    </row>
    <row r="40" customFormat="false" ht="15" hidden="false" customHeight="true" outlineLevel="0" collapsed="false">
      <c r="A40" s="6" t="s">
        <v>76</v>
      </c>
      <c r="B40" s="10" t="n">
        <v>75</v>
      </c>
      <c r="D40" s="8" t="s">
        <v>77</v>
      </c>
    </row>
    <row r="41" customFormat="false" ht="15" hidden="false" customHeight="true" outlineLevel="0" collapsed="false">
      <c r="A41" s="6" t="s">
        <v>78</v>
      </c>
      <c r="B41" s="7" t="n">
        <v>0.2</v>
      </c>
      <c r="D41" s="8" t="s">
        <v>79</v>
      </c>
    </row>
    <row r="42" customFormat="false" ht="15" hidden="false" customHeight="true" outlineLevel="0" collapsed="false">
      <c r="A42" s="6" t="s">
        <v>80</v>
      </c>
      <c r="B42" s="7" t="n">
        <v>0.12</v>
      </c>
      <c r="D42" s="8" t="s">
        <v>81</v>
      </c>
    </row>
    <row r="44" customFormat="false" ht="15" hidden="false" customHeight="true" outlineLevel="0" collapsed="false">
      <c r="A44" s="4" t="s">
        <v>82</v>
      </c>
      <c r="B44" s="5"/>
      <c r="C44" s="5"/>
      <c r="D44" s="5"/>
    </row>
    <row r="45" customFormat="false" ht="15" hidden="false" customHeight="true" outlineLevel="0" collapsed="false">
      <c r="A45" s="6" t="s">
        <v>83</v>
      </c>
      <c r="B45" s="10" t="n">
        <v>60</v>
      </c>
      <c r="D45" s="8" t="s">
        <v>84</v>
      </c>
    </row>
    <row r="46" customFormat="false" ht="15" hidden="false" customHeight="true" outlineLevel="0" collapsed="false">
      <c r="A46" s="6" t="s">
        <v>85</v>
      </c>
      <c r="B46" s="10" t="n">
        <v>150</v>
      </c>
      <c r="D46" s="8" t="s">
        <v>86</v>
      </c>
    </row>
    <row r="47" customFormat="false" ht="15" hidden="false" customHeight="true" outlineLevel="0" collapsed="false">
      <c r="A47" s="6" t="s">
        <v>87</v>
      </c>
      <c r="B47" s="10" t="n">
        <v>400</v>
      </c>
      <c r="D47" s="8" t="s">
        <v>88</v>
      </c>
    </row>
    <row r="48" customFormat="false" ht="15" hidden="false" customHeight="true" outlineLevel="0" collapsed="false">
      <c r="A48" s="6" t="s">
        <v>89</v>
      </c>
      <c r="B48" s="10" t="n">
        <v>600</v>
      </c>
      <c r="D48" s="8" t="s">
        <v>90</v>
      </c>
    </row>
    <row r="49" customFormat="false" ht="15" hidden="false" customHeight="true" outlineLevel="0" collapsed="false">
      <c r="A49" s="6" t="s">
        <v>91</v>
      </c>
      <c r="B49" s="10" t="n">
        <v>2500</v>
      </c>
      <c r="C49" s="11" t="s">
        <v>92</v>
      </c>
      <c r="D49" s="8" t="s">
        <v>93</v>
      </c>
    </row>
    <row r="50" customFormat="false" ht="15" hidden="false" customHeight="true" outlineLevel="0" collapsed="false">
      <c r="A50" s="6" t="s">
        <v>94</v>
      </c>
      <c r="B50" s="10" t="n">
        <v>750</v>
      </c>
      <c r="C50" s="11" t="s">
        <v>95</v>
      </c>
      <c r="D50" s="8" t="s">
        <v>96</v>
      </c>
    </row>
    <row r="52" customFormat="false" ht="15" hidden="false" customHeight="true" outlineLevel="0" collapsed="false">
      <c r="A52" s="4" t="s">
        <v>97</v>
      </c>
      <c r="B52" s="5"/>
      <c r="C52" s="5"/>
      <c r="D52" s="5"/>
    </row>
    <row r="53" customFormat="false" ht="15" hidden="false" customHeight="true" outlineLevel="0" collapsed="false">
      <c r="A53" s="6" t="s">
        <v>98</v>
      </c>
      <c r="B53" s="10" t="n">
        <v>2000</v>
      </c>
      <c r="C53" s="11" t="s">
        <v>99</v>
      </c>
      <c r="D53" s="8" t="s">
        <v>100</v>
      </c>
    </row>
    <row r="54" customFormat="false" ht="15" hidden="false" customHeight="true" outlineLevel="0" collapsed="false">
      <c r="A54" s="6" t="s">
        <v>101</v>
      </c>
      <c r="B54" s="10" t="n">
        <v>3000</v>
      </c>
      <c r="D54" s="8" t="s">
        <v>102</v>
      </c>
    </row>
    <row r="55" customFormat="false" ht="15" hidden="false" customHeight="true" outlineLevel="0" collapsed="false">
      <c r="A55" s="6" t="s">
        <v>103</v>
      </c>
      <c r="B55" s="10" t="n">
        <v>4000</v>
      </c>
      <c r="D55" s="8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891B2"/>
    <pageSetUpPr fitToPage="false"/>
  </sheetPr>
  <dimension ref="A1:Z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5" min="2" style="1" width="12"/>
    <col collapsed="false" customWidth="true" hidden="false" outlineLevel="0" max="26" min="26" style="1" width="14"/>
  </cols>
  <sheetData>
    <row r="1" customFormat="false" ht="15" hidden="false" customHeight="true" outlineLevel="0" collapsed="false">
      <c r="B1" s="16" t="s">
        <v>105</v>
      </c>
      <c r="C1" s="16" t="s">
        <v>106</v>
      </c>
      <c r="D1" s="16" t="s">
        <v>107</v>
      </c>
      <c r="E1" s="16" t="s">
        <v>108</v>
      </c>
      <c r="F1" s="16" t="s">
        <v>109</v>
      </c>
      <c r="G1" s="16" t="s">
        <v>110</v>
      </c>
      <c r="H1" s="16" t="s">
        <v>111</v>
      </c>
      <c r="I1" s="16" t="s">
        <v>112</v>
      </c>
      <c r="J1" s="16" t="s">
        <v>113</v>
      </c>
      <c r="K1" s="16" t="s">
        <v>114</v>
      </c>
      <c r="L1" s="16" t="s">
        <v>115</v>
      </c>
      <c r="M1" s="16" t="s">
        <v>116</v>
      </c>
      <c r="N1" s="16" t="s">
        <v>117</v>
      </c>
      <c r="O1" s="16" t="s">
        <v>118</v>
      </c>
      <c r="P1" s="16" t="s">
        <v>119</v>
      </c>
      <c r="Q1" s="16" t="s">
        <v>120</v>
      </c>
      <c r="R1" s="16" t="s">
        <v>121</v>
      </c>
      <c r="S1" s="16" t="s">
        <v>122</v>
      </c>
      <c r="T1" s="16" t="s">
        <v>123</v>
      </c>
      <c r="U1" s="16" t="s">
        <v>124</v>
      </c>
      <c r="V1" s="16" t="s">
        <v>125</v>
      </c>
      <c r="W1" s="16" t="s">
        <v>126</v>
      </c>
      <c r="X1" s="16" t="s">
        <v>127</v>
      </c>
      <c r="Y1" s="16" t="s">
        <v>128</v>
      </c>
      <c r="Z1" s="17" t="s">
        <v>129</v>
      </c>
    </row>
    <row r="2" customFormat="false" ht="15" hidden="false" customHeight="true" outlineLevel="0" collapsed="false">
      <c r="A2" s="4" t="s">
        <v>130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5" hidden="false" customHeight="true" outlineLevel="0" collapsed="false">
      <c r="A3" s="18" t="s">
        <v>131</v>
      </c>
      <c r="B3" s="19" t="n">
        <f aca="false">Assumptions!$B$13</f>
        <v>3</v>
      </c>
      <c r="C3" s="19" t="n">
        <f aca="false">MIN(MAX(ROUND(Assumptions!$B$13*(1+IF(2&lt;=6,Assumptions!$B$14,IF(2&lt;=12,Assumptions!$B$15,IF(2&lt;=18,Assumptions!$B$16,Assumptions!$B$17))))^1,0),Assumptions!$B$13),50)</f>
        <v>4</v>
      </c>
      <c r="D3" s="19" t="n">
        <f aca="false">MIN(MAX(ROUND(Assumptions!$B$13*(1+IF(3&lt;=6,Assumptions!$B$14,IF(3&lt;=12,Assumptions!$B$15,IF(3&lt;=18,Assumptions!$B$16,Assumptions!$B$17))))^2,0),Assumptions!$B$13),50)</f>
        <v>5</v>
      </c>
      <c r="E3" s="19" t="n">
        <f aca="false">MIN(MAX(ROUND(Assumptions!$B$13*(1+IF(4&lt;=6,Assumptions!$B$14,IF(4&lt;=12,Assumptions!$B$15,IF(4&lt;=18,Assumptions!$B$16,Assumptions!$B$17))))^3,0),Assumptions!$B$13),50)</f>
        <v>6</v>
      </c>
      <c r="F3" s="19" t="n">
        <f aca="false">MIN(MAX(ROUND(Assumptions!$B$13*(1+IF(5&lt;=6,Assumptions!$B$14,IF(5&lt;=12,Assumptions!$B$15,IF(5&lt;=18,Assumptions!$B$16,Assumptions!$B$17))))^4,0),Assumptions!$B$13),50)</f>
        <v>7</v>
      </c>
      <c r="G3" s="19" t="n">
        <f aca="false">MIN(MAX(ROUND(Assumptions!$B$13*(1+IF(6&lt;=6,Assumptions!$B$14,IF(6&lt;=12,Assumptions!$B$15,IF(6&lt;=18,Assumptions!$B$16,Assumptions!$B$17))))^5,0),Assumptions!$B$13),50)</f>
        <v>9</v>
      </c>
      <c r="H3" s="19" t="n">
        <f aca="false">MIN(MAX(ROUND(Assumptions!$B$13*(1+IF(7&lt;=6,Assumptions!$B$14,IF(7&lt;=12,Assumptions!$B$15,IF(7&lt;=18,Assumptions!$B$16,Assumptions!$B$17))))^6,0),Assumptions!$B$13),50)</f>
        <v>7</v>
      </c>
      <c r="I3" s="19" t="n">
        <f aca="false">MIN(MAX(ROUND(Assumptions!$B$13*(1+IF(8&lt;=6,Assumptions!$B$14,IF(8&lt;=12,Assumptions!$B$15,IF(8&lt;=18,Assumptions!$B$16,Assumptions!$B$17))))^7,0),Assumptions!$B$13),50)</f>
        <v>8</v>
      </c>
      <c r="J3" s="19" t="n">
        <f aca="false">MIN(MAX(ROUND(Assumptions!$B$13*(1+IF(9&lt;=6,Assumptions!$B$14,IF(9&lt;=12,Assumptions!$B$15,IF(9&lt;=18,Assumptions!$B$16,Assumptions!$B$17))))^8,0),Assumptions!$B$13),50)</f>
        <v>9</v>
      </c>
      <c r="K3" s="19" t="n">
        <f aca="false">MIN(MAX(ROUND(Assumptions!$B$13*(1+IF(10&lt;=6,Assumptions!$B$14,IF(10&lt;=12,Assumptions!$B$15,IF(10&lt;=18,Assumptions!$B$16,Assumptions!$B$17))))^9,0),Assumptions!$B$13),50)</f>
        <v>11</v>
      </c>
      <c r="L3" s="19" t="n">
        <f aca="false">MIN(MAX(ROUND(Assumptions!$B$13*(1+IF(11&lt;=6,Assumptions!$B$14,IF(11&lt;=12,Assumptions!$B$15,IF(11&lt;=18,Assumptions!$B$16,Assumptions!$B$17))))^10,0),Assumptions!$B$13),50)</f>
        <v>12</v>
      </c>
      <c r="M3" s="19" t="n">
        <f aca="false">MIN(MAX(ROUND(Assumptions!$B$13*(1+IF(12&lt;=6,Assumptions!$B$14,IF(12&lt;=12,Assumptions!$B$15,IF(12&lt;=18,Assumptions!$B$16,Assumptions!$B$17))))^11,0),Assumptions!$B$13),50)</f>
        <v>14</v>
      </c>
      <c r="N3" s="19" t="n">
        <f aca="false">MIN(MAX(ROUND(Assumptions!$B$13*(1+IF(13&lt;=6,Assumptions!$B$14,IF(13&lt;=12,Assumptions!$B$15,IF(13&lt;=18,Assumptions!$B$16,Assumptions!$B$17))))^12,0),Assumptions!$B$13),50)</f>
        <v>9</v>
      </c>
      <c r="O3" s="19" t="n">
        <f aca="false">MIN(MAX(ROUND(Assumptions!$B$13*(1+IF(14&lt;=6,Assumptions!$B$14,IF(14&lt;=12,Assumptions!$B$15,IF(14&lt;=18,Assumptions!$B$16,Assumptions!$B$17))))^13,0),Assumptions!$B$13),50)</f>
        <v>10</v>
      </c>
      <c r="P3" s="19" t="n">
        <f aca="false">MIN(MAX(ROUND(Assumptions!$B$13*(1+IF(15&lt;=6,Assumptions!$B$14,IF(15&lt;=12,Assumptions!$B$15,IF(15&lt;=18,Assumptions!$B$16,Assumptions!$B$17))))^14,0),Assumptions!$B$13),50)</f>
        <v>11</v>
      </c>
      <c r="Q3" s="19" t="n">
        <f aca="false">MIN(MAX(ROUND(Assumptions!$B$13*(1+IF(16&lt;=6,Assumptions!$B$14,IF(16&lt;=12,Assumptions!$B$15,IF(16&lt;=18,Assumptions!$B$16,Assumptions!$B$17))))^15,0),Assumptions!$B$13),50)</f>
        <v>13</v>
      </c>
      <c r="R3" s="19" t="n">
        <f aca="false">MIN(MAX(ROUND(Assumptions!$B$13*(1+IF(17&lt;=6,Assumptions!$B$14,IF(17&lt;=12,Assumptions!$B$15,IF(17&lt;=18,Assumptions!$B$16,Assumptions!$B$17))))^16,0),Assumptions!$B$13),50)</f>
        <v>14</v>
      </c>
      <c r="S3" s="19" t="n">
        <f aca="false">MIN(MAX(ROUND(Assumptions!$B$13*(1+IF(18&lt;=6,Assumptions!$B$14,IF(18&lt;=12,Assumptions!$B$15,IF(18&lt;=18,Assumptions!$B$16,Assumptions!$B$17))))^17,0),Assumptions!$B$13),50)</f>
        <v>15</v>
      </c>
      <c r="T3" s="19" t="n">
        <f aca="false">MIN(MAX(ROUND(Assumptions!$B$13*(1+IF(19&lt;=6,Assumptions!$B$14,IF(19&lt;=12,Assumptions!$B$15,IF(19&lt;=18,Assumptions!$B$16,Assumptions!$B$17))))^18,0),Assumptions!$B$13),50)</f>
        <v>12</v>
      </c>
      <c r="U3" s="19" t="n">
        <f aca="false">MIN(MAX(ROUND(Assumptions!$B$13*(1+IF(20&lt;=6,Assumptions!$B$14,IF(20&lt;=12,Assumptions!$B$15,IF(20&lt;=18,Assumptions!$B$16,Assumptions!$B$17))))^19,0),Assumptions!$B$13),50)</f>
        <v>13</v>
      </c>
      <c r="V3" s="19" t="n">
        <f aca="false">MIN(MAX(ROUND(Assumptions!$B$13*(1+IF(21&lt;=6,Assumptions!$B$14,IF(21&lt;=12,Assumptions!$B$15,IF(21&lt;=18,Assumptions!$B$16,Assumptions!$B$17))))^20,0),Assumptions!$B$13),50)</f>
        <v>14</v>
      </c>
      <c r="W3" s="19" t="n">
        <f aca="false">MIN(MAX(ROUND(Assumptions!$B$13*(1+IF(22&lt;=6,Assumptions!$B$14,IF(22&lt;=12,Assumptions!$B$15,IF(22&lt;=18,Assumptions!$B$16,Assumptions!$B$17))))^21,0),Assumptions!$B$13),50)</f>
        <v>15</v>
      </c>
      <c r="X3" s="19" t="n">
        <f aca="false">MIN(MAX(ROUND(Assumptions!$B$13*(1+IF(23&lt;=6,Assumptions!$B$14,IF(23&lt;=12,Assumptions!$B$15,IF(23&lt;=18,Assumptions!$B$16,Assumptions!$B$17))))^22,0),Assumptions!$B$13),50)</f>
        <v>16</v>
      </c>
      <c r="Y3" s="19" t="n">
        <f aca="false">MIN(MAX(ROUND(Assumptions!$B$13*(1+IF(24&lt;=6,Assumptions!$B$14,IF(24&lt;=12,Assumptions!$B$15,IF(24&lt;=18,Assumptions!$B$16,Assumptions!$B$17))))^23,0),Assumptions!$B$13),50)</f>
        <v>18</v>
      </c>
      <c r="Z3" s="20" t="n">
        <f aca="false">SUM(B3:Y3)</f>
        <v>255</v>
      </c>
    </row>
    <row r="4" customFormat="false" ht="15" hidden="false" customHeight="true" outlineLevel="0" collapsed="false">
      <c r="A4" s="18" t="s">
        <v>132</v>
      </c>
      <c r="B4" s="19" t="n">
        <v>0</v>
      </c>
      <c r="C4" s="19" t="n">
        <f aca="false">ROUND(B5*Assumptions!$B$18,0)</f>
        <v>0</v>
      </c>
      <c r="D4" s="19" t="n">
        <f aca="false">ROUND(C5*Assumptions!$B$18,0)</f>
        <v>0</v>
      </c>
      <c r="E4" s="19" t="n">
        <f aca="false">ROUND(D5*Assumptions!$B$18,0)</f>
        <v>1</v>
      </c>
      <c r="F4" s="19" t="n">
        <f aca="false">ROUND(E5*Assumptions!$B$18,0)</f>
        <v>1</v>
      </c>
      <c r="G4" s="19" t="n">
        <f aca="false">ROUND(F5*Assumptions!$B$18,0)</f>
        <v>2</v>
      </c>
      <c r="H4" s="19" t="n">
        <f aca="false">ROUND(G5*Assumptions!$B$18,0)</f>
        <v>2</v>
      </c>
      <c r="I4" s="19" t="n">
        <f aca="false">ROUND(H5*Assumptions!$B$18,0)</f>
        <v>2</v>
      </c>
      <c r="J4" s="19" t="n">
        <f aca="false">ROUND(I5*Assumptions!$B$18,0)</f>
        <v>3</v>
      </c>
      <c r="K4" s="19" t="n">
        <f aca="false">ROUND(J5*Assumptions!$B$18,0)</f>
        <v>3</v>
      </c>
      <c r="L4" s="19" t="n">
        <f aca="false">ROUND(K5*Assumptions!$B$18,0)</f>
        <v>4</v>
      </c>
      <c r="M4" s="19" t="n">
        <f aca="false">ROUND(L5*Assumptions!$B$18,0)</f>
        <v>4</v>
      </c>
      <c r="N4" s="19" t="n">
        <f aca="false">ROUND(M5*Assumptions!$B$18,0)</f>
        <v>5</v>
      </c>
      <c r="O4" s="19" t="n">
        <f aca="false">ROUND(N5*Assumptions!$B$18,0)</f>
        <v>5</v>
      </c>
      <c r="P4" s="19" t="n">
        <f aca="false">ROUND(O5*Assumptions!$B$18,0)</f>
        <v>6</v>
      </c>
      <c r="Q4" s="19" t="n">
        <f aca="false">ROUND(P5*Assumptions!$B$18,0)</f>
        <v>6</v>
      </c>
      <c r="R4" s="19" t="n">
        <f aca="false">ROUND(Q5*Assumptions!$B$18,0)</f>
        <v>7</v>
      </c>
      <c r="S4" s="19" t="n">
        <f aca="false">ROUND(R5*Assumptions!$B$18,0)</f>
        <v>7</v>
      </c>
      <c r="T4" s="19" t="n">
        <f aca="false">ROUND(S5*Assumptions!$B$18,0)</f>
        <v>8</v>
      </c>
      <c r="U4" s="19" t="n">
        <f aca="false">ROUND(T5*Assumptions!$B$18,0)</f>
        <v>8</v>
      </c>
      <c r="V4" s="19" t="n">
        <f aca="false">ROUND(U5*Assumptions!$B$18,0)</f>
        <v>8</v>
      </c>
      <c r="W4" s="19" t="n">
        <f aca="false">ROUND(V5*Assumptions!$B$18,0)</f>
        <v>9</v>
      </c>
      <c r="X4" s="19" t="n">
        <f aca="false">ROUND(W5*Assumptions!$B$18,0)</f>
        <v>9</v>
      </c>
      <c r="Y4" s="19" t="n">
        <f aca="false">ROUND(X5*Assumptions!$B$18,0)</f>
        <v>10</v>
      </c>
      <c r="Z4" s="20" t="n">
        <f aca="false">SUM(B4:Y4)</f>
        <v>110</v>
      </c>
    </row>
    <row r="5" customFormat="false" ht="15" hidden="false" customHeight="true" outlineLevel="0" collapsed="false">
      <c r="A5" s="6" t="s">
        <v>133</v>
      </c>
      <c r="B5" s="19" t="n">
        <f aca="false">Assumptions!$B$13</f>
        <v>3</v>
      </c>
      <c r="C5" s="19" t="n">
        <f aca="false">IF((B5+C3-C4)&lt;Assumptions!$B$19*0.5,(B5+C3-C4),MIN((B5+C3-C4),Assumptions!$B$19))</f>
        <v>7</v>
      </c>
      <c r="D5" s="19" t="n">
        <f aca="false">IF((C5+D3-D4)&lt;Assumptions!$B$19*0.5,(C5+D3-D4),MIN((C5+D3-D4),Assumptions!$B$19))</f>
        <v>12</v>
      </c>
      <c r="E5" s="19" t="n">
        <f aca="false">IF((D5+E3-E4)&lt;Assumptions!$B$19*0.5,(D5+E3-E4),MIN((D5+E3-E4),Assumptions!$B$19))</f>
        <v>17</v>
      </c>
      <c r="F5" s="19" t="n">
        <f aca="false">IF((E5+F3-F4)&lt;Assumptions!$B$19*0.5,(E5+F3-F4),MIN((E5+F3-F4),Assumptions!$B$19))</f>
        <v>23</v>
      </c>
      <c r="G5" s="19" t="n">
        <f aca="false">IF((F5+G3-G4)&lt;Assumptions!$B$19*0.5,(F5+G3-G4),MIN((F5+G3-G4),Assumptions!$B$19))</f>
        <v>30</v>
      </c>
      <c r="H5" s="19" t="n">
        <f aca="false">IF((G5+H3-H4)&lt;Assumptions!$B$19*0.5,(G5+H3-H4),MIN((G5+H3-H4),Assumptions!$B$19))</f>
        <v>35</v>
      </c>
      <c r="I5" s="19" t="n">
        <f aca="false">IF((H5+I3-I4)&lt;Assumptions!$B$19*0.5,(H5+I3-I4),MIN((H5+I3-I4),Assumptions!$B$19))</f>
        <v>41</v>
      </c>
      <c r="J5" s="19" t="n">
        <f aca="false">IF((I5+J3-J4)&lt;Assumptions!$B$19*0.5,(I5+J3-J4),MIN((I5+J3-J4),Assumptions!$B$19))</f>
        <v>47</v>
      </c>
      <c r="K5" s="19" t="n">
        <f aca="false">IF((J5+K3-K4)&lt;Assumptions!$B$19*0.5,(J5+K3-K4),MIN((J5+K3-K4),Assumptions!$B$19))</f>
        <v>55</v>
      </c>
      <c r="L5" s="19" t="n">
        <f aca="false">IF((K5+L3-L4)&lt;Assumptions!$B$19*0.5,(K5+L3-L4),MIN((K5+L3-L4),Assumptions!$B$19))</f>
        <v>63</v>
      </c>
      <c r="M5" s="19" t="n">
        <f aca="false">IF((L5+M3-M4)&lt;Assumptions!$B$19*0.5,(L5+M3-M4),MIN((L5+M3-M4),Assumptions!$B$19))</f>
        <v>73</v>
      </c>
      <c r="N5" s="19" t="n">
        <f aca="false">IF((M5+N3-N4)&lt;Assumptions!$B$19*0.5,(M5+N3-N4),MIN((M5+N3-N4),Assumptions!$B$19))</f>
        <v>77</v>
      </c>
      <c r="O5" s="19" t="n">
        <f aca="false">IF((N5+O3-O4)&lt;Assumptions!$B$19*0.5,(N5+O3-O4),MIN((N5+O3-O4),Assumptions!$B$19))</f>
        <v>82</v>
      </c>
      <c r="P5" s="19" t="n">
        <f aca="false">IF((O5+P3-P4)&lt;Assumptions!$B$19*0.5,(O5+P3-P4),MIN((O5+P3-P4),Assumptions!$B$19))</f>
        <v>87</v>
      </c>
      <c r="Q5" s="19" t="n">
        <f aca="false">IF((P5+Q3-Q4)&lt;Assumptions!$B$19*0.5,(P5+Q3-Q4),MIN((P5+Q3-Q4),Assumptions!$B$19))</f>
        <v>94</v>
      </c>
      <c r="R5" s="19" t="n">
        <f aca="false">IF((Q5+R3-R4)&lt;Assumptions!$B$19*0.5,(Q5+R3-R4),MIN((Q5+R3-R4),Assumptions!$B$19))</f>
        <v>101</v>
      </c>
      <c r="S5" s="19" t="n">
        <f aca="false">IF((R5+S3-S4)&lt;Assumptions!$B$19*0.5,(R5+S3-S4),MIN((R5+S3-S4),Assumptions!$B$19))</f>
        <v>109</v>
      </c>
      <c r="T5" s="19" t="n">
        <f aca="false">IF((S5+T3-T4)&lt;Assumptions!$B$19*0.5,(S5+T3-T4),MIN((S5+T3-T4),Assumptions!$B$19))</f>
        <v>113</v>
      </c>
      <c r="U5" s="19" t="n">
        <f aca="false">IF((T5+U3-U4)&lt;Assumptions!$B$19*0.5,(T5+U3-U4),MIN((T5+U3-U4),Assumptions!$B$19))</f>
        <v>118</v>
      </c>
      <c r="V5" s="19" t="n">
        <f aca="false">IF((U5+V3-V4)&lt;Assumptions!$B$19*0.5,(U5+V3-V4),MIN((U5+V3-V4),Assumptions!$B$19))</f>
        <v>124</v>
      </c>
      <c r="W5" s="19" t="n">
        <f aca="false">IF((V5+W3-W4)&lt;Assumptions!$B$19*0.5,(V5+W3-W4),MIN((V5+W3-W4),Assumptions!$B$19))</f>
        <v>130</v>
      </c>
      <c r="X5" s="19" t="n">
        <f aca="false">IF((W5+X3-X4)&lt;Assumptions!$B$19*0.5,(W5+X3-X4),MIN((W5+X3-X4),Assumptions!$B$19))</f>
        <v>137</v>
      </c>
      <c r="Y5" s="19" t="n">
        <f aca="false">IF((X5+Y3-Y4)&lt;Assumptions!$B$19*0.5,(X5+Y3-Y4),MIN((X5+Y3-Y4),Assumptions!$B$19))</f>
        <v>145</v>
      </c>
      <c r="Z5" s="20" t="n">
        <f aca="false">Y5</f>
        <v>145</v>
      </c>
    </row>
    <row r="6" customFormat="false" ht="15" hidden="false" customHeight="true" outlineLevel="0" collapsed="false">
      <c r="A6" s="18" t="s">
        <v>134</v>
      </c>
      <c r="B6" s="19" t="n">
        <f aca="false">IF(1&lt;Assumptions!$B$22,0,Assumptions!$B$23)</f>
        <v>0</v>
      </c>
      <c r="C6" s="19" t="n">
        <f aca="false">IF(2&lt;Assumptions!$B$22,0,IF(2=Assumptions!$B$22,Assumptions!$B$23,(B6+ROUND(B6*IF(2&lt;=12,Assumptions!$B$24,Assumptions!$B$25),0)-ROUND(B6*Assumptions!$B$26,0))))</f>
        <v>0</v>
      </c>
      <c r="D6" s="19" t="n">
        <f aca="false">IF(3&lt;Assumptions!$B$22,0,IF(3=Assumptions!$B$22,Assumptions!$B$23,(C6+ROUND(C6*IF(3&lt;=12,Assumptions!$B$24,Assumptions!$B$25),0)-ROUND(C6*Assumptions!$B$26,0))))</f>
        <v>0</v>
      </c>
      <c r="E6" s="19" t="n">
        <f aca="false">IF(4&lt;Assumptions!$B$22,0,IF(4=Assumptions!$B$22,Assumptions!$B$23,(D6+ROUND(D6*IF(4&lt;=12,Assumptions!$B$24,Assumptions!$B$25),0)-ROUND(D6*Assumptions!$B$26,0))))</f>
        <v>0</v>
      </c>
      <c r="F6" s="19" t="n">
        <f aca="false">IF(5&lt;Assumptions!$B$22,0,IF(5=Assumptions!$B$22,Assumptions!$B$23,(E6+ROUND(E6*IF(5&lt;=12,Assumptions!$B$24,Assumptions!$B$25),0)-ROUND(E6*Assumptions!$B$26,0))))</f>
        <v>0</v>
      </c>
      <c r="G6" s="19" t="n">
        <f aca="false">IF(6&lt;Assumptions!$B$22,0,IF(6=Assumptions!$B$22,Assumptions!$B$23,(F6+ROUND(F6*IF(6&lt;=12,Assumptions!$B$24,Assumptions!$B$25),0)-ROUND(F6*Assumptions!$B$26,0))))</f>
        <v>0</v>
      </c>
      <c r="H6" s="19" t="n">
        <f aca="false">IF(7&lt;Assumptions!$B$22,0,IF(7=Assumptions!$B$22,Assumptions!$B$23,(G6+ROUND(G6*IF(7&lt;=12,Assumptions!$B$24,Assumptions!$B$25),0)-ROUND(G6*Assumptions!$B$26,0))))</f>
        <v>0</v>
      </c>
      <c r="I6" s="19" t="n">
        <f aca="false">IF(8&lt;Assumptions!$B$22,0,IF(8=Assumptions!$B$22,Assumptions!$B$23,(H6+ROUND(H6*IF(8&lt;=12,Assumptions!$B$24,Assumptions!$B$25),0)-ROUND(H6*Assumptions!$B$26,0))))</f>
        <v>0</v>
      </c>
      <c r="J6" s="19" t="n">
        <f aca="false">IF(9&lt;Assumptions!$B$22,0,IF(9=Assumptions!$B$22,Assumptions!$B$23,(I6+ROUND(I6*IF(9&lt;=12,Assumptions!$B$24,Assumptions!$B$25),0)-ROUND(I6*Assumptions!$B$26,0))))</f>
        <v>5</v>
      </c>
      <c r="K6" s="19" t="n">
        <f aca="false">IF(10&lt;Assumptions!$B$22,0,IF(10=Assumptions!$B$22,Assumptions!$B$23,(J6+ROUND(J6*IF(10&lt;=12,Assumptions!$B$24,Assumptions!$B$25),0)-ROUND(J6*Assumptions!$B$26,0))))</f>
        <v>6</v>
      </c>
      <c r="L6" s="19" t="n">
        <f aca="false">IF(11&lt;Assumptions!$B$22,0,IF(11=Assumptions!$B$22,Assumptions!$B$23,(K6+ROUND(K6*IF(11&lt;=12,Assumptions!$B$24,Assumptions!$B$25),0)-ROUND(K6*Assumptions!$B$26,0))))</f>
        <v>7</v>
      </c>
      <c r="M6" s="19" t="n">
        <f aca="false">IF(12&lt;Assumptions!$B$22,0,IF(12=Assumptions!$B$22,Assumptions!$B$23,(L6+ROUND(L6*IF(12&lt;=12,Assumptions!$B$24,Assumptions!$B$25),0)-ROUND(L6*Assumptions!$B$26,0))))</f>
        <v>8</v>
      </c>
      <c r="N6" s="19" t="n">
        <f aca="false">IF(13&lt;Assumptions!$B$22,0,IF(13=Assumptions!$B$22,Assumptions!$B$23,(M6+ROUND(M6*IF(13&lt;=12,Assumptions!$B$24,Assumptions!$B$25),0)-ROUND(M6*Assumptions!$B$26,0))))</f>
        <v>9</v>
      </c>
      <c r="O6" s="19" t="n">
        <f aca="false">IF(14&lt;Assumptions!$B$22,0,IF(14=Assumptions!$B$22,Assumptions!$B$23,(N6+ROUND(N6*IF(14&lt;=12,Assumptions!$B$24,Assumptions!$B$25),0)-ROUND(N6*Assumptions!$B$26,0))))</f>
        <v>10</v>
      </c>
      <c r="P6" s="19" t="n">
        <f aca="false">IF(15&lt;Assumptions!$B$22,0,IF(15=Assumptions!$B$22,Assumptions!$B$23,(O6+ROUND(O6*IF(15&lt;=12,Assumptions!$B$24,Assumptions!$B$25),0)-ROUND(O6*Assumptions!$B$26,0))))</f>
        <v>12</v>
      </c>
      <c r="Q6" s="19" t="n">
        <f aca="false">IF(16&lt;Assumptions!$B$22,0,IF(16=Assumptions!$B$22,Assumptions!$B$23,(P6+ROUND(P6*IF(16&lt;=12,Assumptions!$B$24,Assumptions!$B$25),0)-ROUND(P6*Assumptions!$B$26,0))))</f>
        <v>14</v>
      </c>
      <c r="R6" s="19" t="n">
        <f aca="false">IF(17&lt;Assumptions!$B$22,0,IF(17=Assumptions!$B$22,Assumptions!$B$23,(Q6+ROUND(Q6*IF(17&lt;=12,Assumptions!$B$24,Assumptions!$B$25),0)-ROUND(Q6*Assumptions!$B$26,0))))</f>
        <v>16</v>
      </c>
      <c r="S6" s="19" t="n">
        <f aca="false">IF(18&lt;Assumptions!$B$22,0,IF(18=Assumptions!$B$22,Assumptions!$B$23,(R6+ROUND(R6*IF(18&lt;=12,Assumptions!$B$24,Assumptions!$B$25),0)-ROUND(R6*Assumptions!$B$26,0))))</f>
        <v>18</v>
      </c>
      <c r="T6" s="19" t="n">
        <f aca="false">IF(19&lt;Assumptions!$B$22,0,IF(19=Assumptions!$B$22,Assumptions!$B$23,(S6+ROUND(S6*IF(19&lt;=12,Assumptions!$B$24,Assumptions!$B$25),0)-ROUND(S6*Assumptions!$B$26,0))))</f>
        <v>20</v>
      </c>
      <c r="U6" s="19" t="n">
        <f aca="false">IF(20&lt;Assumptions!$B$22,0,IF(20=Assumptions!$B$22,Assumptions!$B$23,(T6+ROUND(T6*IF(20&lt;=12,Assumptions!$B$24,Assumptions!$B$25),0)-ROUND(T6*Assumptions!$B$26,0))))</f>
        <v>22</v>
      </c>
      <c r="V6" s="19" t="n">
        <f aca="false">IF(21&lt;Assumptions!$B$22,0,IF(21=Assumptions!$B$22,Assumptions!$B$23,(U6+ROUND(U6*IF(21&lt;=12,Assumptions!$B$24,Assumptions!$B$25),0)-ROUND(U6*Assumptions!$B$26,0))))</f>
        <v>24</v>
      </c>
      <c r="W6" s="19" t="n">
        <f aca="false">IF(22&lt;Assumptions!$B$22,0,IF(22=Assumptions!$B$22,Assumptions!$B$23,(V6+ROUND(V6*IF(22&lt;=12,Assumptions!$B$24,Assumptions!$B$25),0)-ROUND(V6*Assumptions!$B$26,0))))</f>
        <v>27</v>
      </c>
      <c r="X6" s="19" t="n">
        <f aca="false">IF(23&lt;Assumptions!$B$22,0,IF(23=Assumptions!$B$22,Assumptions!$B$23,(W6+ROUND(W6*IF(23&lt;=12,Assumptions!$B$24,Assumptions!$B$25),0)-ROUND(W6*Assumptions!$B$26,0))))</f>
        <v>30</v>
      </c>
      <c r="Y6" s="19" t="n">
        <f aca="false">IF(24&lt;Assumptions!$B$22,0,IF(24=Assumptions!$B$22,Assumptions!$B$23,(X6+ROUND(X6*IF(24&lt;=12,Assumptions!$B$24,Assumptions!$B$25),0)-ROUND(X6*Assumptions!$B$26,0))))</f>
        <v>34</v>
      </c>
      <c r="Z6" s="20" t="n">
        <f aca="false">Y6</f>
        <v>34</v>
      </c>
    </row>
    <row r="7" customFormat="false" ht="15" hidden="false" customHeight="true" outlineLevel="0" collapsed="false">
      <c r="A7" s="18" t="s">
        <v>135</v>
      </c>
      <c r="B7" s="19" t="n">
        <f aca="false">IF(1&lt;Assumptions!$B$28,0,MIN(MAX(1,ROUND(Assumptions!$B$29*(1+Assumptions!$B$30)^(1-Assumptions!$B$28),0)),25))</f>
        <v>0</v>
      </c>
      <c r="C7" s="19" t="n">
        <f aca="false">IF(2&lt;Assumptions!$B$28,0,MIN(MAX(1,ROUND(Assumptions!$B$29*(1+Assumptions!$B$30)^(2-Assumptions!$B$28),0)),25))</f>
        <v>0</v>
      </c>
      <c r="D7" s="19" t="n">
        <f aca="false">IF(3&lt;Assumptions!$B$28,0,MIN(MAX(1,ROUND(Assumptions!$B$29*(1+Assumptions!$B$30)^(3-Assumptions!$B$28),0)),25))</f>
        <v>3</v>
      </c>
      <c r="E7" s="19" t="n">
        <f aca="false">IF(4&lt;Assumptions!$B$28,0,MIN(MAX(1,ROUND(Assumptions!$B$29*(1+Assumptions!$B$30)^(4-Assumptions!$B$28),0)),25))</f>
        <v>4</v>
      </c>
      <c r="F7" s="19" t="n">
        <f aca="false">IF(5&lt;Assumptions!$B$28,0,MIN(MAX(1,ROUND(Assumptions!$B$29*(1+Assumptions!$B$30)^(5-Assumptions!$B$28),0)),25))</f>
        <v>4</v>
      </c>
      <c r="G7" s="19" t="n">
        <f aca="false">IF(6&lt;Assumptions!$B$28,0,MIN(MAX(1,ROUND(Assumptions!$B$29*(1+Assumptions!$B$30)^(6-Assumptions!$B$28),0)),25))</f>
        <v>5</v>
      </c>
      <c r="H7" s="19" t="n">
        <f aca="false">IF(7&lt;Assumptions!$B$28,0,MIN(MAX(1,ROUND(Assumptions!$B$29*(1+Assumptions!$B$30)^(7-Assumptions!$B$28),0)),25))</f>
        <v>6</v>
      </c>
      <c r="I7" s="19" t="n">
        <f aca="false">IF(8&lt;Assumptions!$B$28,0,MIN(MAX(1,ROUND(Assumptions!$B$29*(1+Assumptions!$B$30)^(8-Assumptions!$B$28),0)),25))</f>
        <v>7</v>
      </c>
      <c r="J7" s="19" t="n">
        <f aca="false">IF(9&lt;Assumptions!$B$28,0,MIN(MAX(1,ROUND(Assumptions!$B$29*(1+Assumptions!$B$30)^(9-Assumptions!$B$28),0)),25))</f>
        <v>9</v>
      </c>
      <c r="K7" s="19" t="n">
        <f aca="false">IF(10&lt;Assumptions!$B$28,0,MIN(MAX(1,ROUND(Assumptions!$B$29*(1+Assumptions!$B$30)^(10-Assumptions!$B$28),0)),25))</f>
        <v>11</v>
      </c>
      <c r="L7" s="19" t="n">
        <f aca="false">IF(11&lt;Assumptions!$B$28,0,MIN(MAX(1,ROUND(Assumptions!$B$29*(1+Assumptions!$B$30)^(11-Assumptions!$B$28),0)),25))</f>
        <v>13</v>
      </c>
      <c r="M7" s="19" t="n">
        <f aca="false">IF(12&lt;Assumptions!$B$28,0,MIN(MAX(1,ROUND(Assumptions!$B$29*(1+Assumptions!$B$30)^(12-Assumptions!$B$28),0)),25))</f>
        <v>15</v>
      </c>
      <c r="N7" s="19" t="n">
        <f aca="false">IF(13&lt;Assumptions!$B$28,0,MIN(MAX(1,ROUND(Assumptions!$B$29*(1+Assumptions!$B$30)^(13-Assumptions!$B$28),0)),25))</f>
        <v>19</v>
      </c>
      <c r="O7" s="19" t="n">
        <f aca="false">IF(14&lt;Assumptions!$B$28,0,MIN(MAX(1,ROUND(Assumptions!$B$29*(1+Assumptions!$B$30)^(14-Assumptions!$B$28),0)),25))</f>
        <v>22</v>
      </c>
      <c r="P7" s="19" t="n">
        <f aca="false">IF(15&lt;Assumptions!$B$28,0,MIN(MAX(1,ROUND(Assumptions!$B$29*(1+Assumptions!$B$30)^(15-Assumptions!$B$28),0)),25))</f>
        <v>25</v>
      </c>
      <c r="Q7" s="19" t="n">
        <f aca="false">IF(16&lt;Assumptions!$B$28,0,MIN(MAX(1,ROUND(Assumptions!$B$29*(1+Assumptions!$B$30)^(16-Assumptions!$B$28),0)),25))</f>
        <v>25</v>
      </c>
      <c r="R7" s="19" t="n">
        <f aca="false">IF(17&lt;Assumptions!$B$28,0,MIN(MAX(1,ROUND(Assumptions!$B$29*(1+Assumptions!$B$30)^(17-Assumptions!$B$28),0)),25))</f>
        <v>25</v>
      </c>
      <c r="S7" s="19" t="n">
        <f aca="false">IF(18&lt;Assumptions!$B$28,0,MIN(MAX(1,ROUND(Assumptions!$B$29*(1+Assumptions!$B$30)^(18-Assumptions!$B$28),0)),25))</f>
        <v>25</v>
      </c>
      <c r="T7" s="19" t="n">
        <f aca="false">IF(19&lt;Assumptions!$B$28,0,MIN(MAX(1,ROUND(Assumptions!$B$29*(1+Assumptions!$B$30)^(19-Assumptions!$B$28),0)),25))</f>
        <v>25</v>
      </c>
      <c r="U7" s="19" t="n">
        <f aca="false">IF(20&lt;Assumptions!$B$28,0,MIN(MAX(1,ROUND(Assumptions!$B$29*(1+Assumptions!$B$30)^(20-Assumptions!$B$28),0)),25))</f>
        <v>25</v>
      </c>
      <c r="V7" s="19" t="n">
        <f aca="false">IF(21&lt;Assumptions!$B$28,0,MIN(MAX(1,ROUND(Assumptions!$B$29*(1+Assumptions!$B$30)^(21-Assumptions!$B$28),0)),25))</f>
        <v>25</v>
      </c>
      <c r="W7" s="19" t="n">
        <f aca="false">IF(22&lt;Assumptions!$B$28,0,MIN(MAX(1,ROUND(Assumptions!$B$29*(1+Assumptions!$B$30)^(22-Assumptions!$B$28),0)),25))</f>
        <v>25</v>
      </c>
      <c r="X7" s="19" t="n">
        <f aca="false">IF(23&lt;Assumptions!$B$28,0,MIN(MAX(1,ROUND(Assumptions!$B$29*(1+Assumptions!$B$30)^(23-Assumptions!$B$28),0)),25))</f>
        <v>25</v>
      </c>
      <c r="Y7" s="19" t="n">
        <f aca="false">IF(24&lt;Assumptions!$B$28,0,MIN(MAX(1,ROUND(Assumptions!$B$29*(1+Assumptions!$B$30)^(24-Assumptions!$B$28),0)),25))</f>
        <v>25</v>
      </c>
      <c r="Z7" s="20" t="n">
        <f aca="false">SUM(B7:Y7)</f>
        <v>368</v>
      </c>
    </row>
    <row r="8" customFormat="false" ht="15" hidden="false" customHeight="true" outlineLevel="0" collapsed="false">
      <c r="A8" s="18" t="s">
        <v>136</v>
      </c>
      <c r="B8" s="19" t="n">
        <f aca="false">IF(1&lt;Assumptions!$B$34,0,MIN(Assumptions!$B$35+(1-Assumptions!$B$34)*Assumptions!$B$36,30))</f>
        <v>0</v>
      </c>
      <c r="C8" s="19" t="n">
        <f aca="false">IF(2&lt;Assumptions!$B$34,0,MIN(Assumptions!$B$35+(2-Assumptions!$B$34)*Assumptions!$B$36,30))</f>
        <v>0</v>
      </c>
      <c r="D8" s="19" t="n">
        <f aca="false">IF(3&lt;Assumptions!$B$34,0,MIN(Assumptions!$B$35+(3-Assumptions!$B$34)*Assumptions!$B$36,30))</f>
        <v>0</v>
      </c>
      <c r="E8" s="19" t="n">
        <f aca="false">IF(4&lt;Assumptions!$B$34,0,MIN(Assumptions!$B$35+(4-Assumptions!$B$34)*Assumptions!$B$36,30))</f>
        <v>0</v>
      </c>
      <c r="F8" s="19" t="n">
        <f aca="false">IF(5&lt;Assumptions!$B$34,0,MIN(Assumptions!$B$35+(5-Assumptions!$B$34)*Assumptions!$B$36,30))</f>
        <v>0</v>
      </c>
      <c r="G8" s="19" t="n">
        <f aca="false">IF(6&lt;Assumptions!$B$34,0,MIN(Assumptions!$B$35+(6-Assumptions!$B$34)*Assumptions!$B$36,30))</f>
        <v>0</v>
      </c>
      <c r="H8" s="19" t="n">
        <f aca="false">IF(7&lt;Assumptions!$B$34,0,MIN(Assumptions!$B$35+(7-Assumptions!$B$34)*Assumptions!$B$36,30))</f>
        <v>0</v>
      </c>
      <c r="I8" s="19" t="n">
        <f aca="false">IF(8&lt;Assumptions!$B$34,0,MIN(Assumptions!$B$35+(8-Assumptions!$B$34)*Assumptions!$B$36,30))</f>
        <v>0</v>
      </c>
      <c r="J8" s="19" t="n">
        <f aca="false">IF(9&lt;Assumptions!$B$34,0,MIN(Assumptions!$B$35+(9-Assumptions!$B$34)*Assumptions!$B$36,30))</f>
        <v>0</v>
      </c>
      <c r="K8" s="19" t="n">
        <f aca="false">IF(10&lt;Assumptions!$B$34,0,MIN(Assumptions!$B$35+(10-Assumptions!$B$34)*Assumptions!$B$36,30))</f>
        <v>2</v>
      </c>
      <c r="L8" s="19" t="n">
        <f aca="false">IF(11&lt;Assumptions!$B$34,0,MIN(Assumptions!$B$35+(11-Assumptions!$B$34)*Assumptions!$B$36,30))</f>
        <v>3</v>
      </c>
      <c r="M8" s="19" t="n">
        <f aca="false">IF(12&lt;Assumptions!$B$34,0,MIN(Assumptions!$B$35+(12-Assumptions!$B$34)*Assumptions!$B$36,30))</f>
        <v>4</v>
      </c>
      <c r="N8" s="19" t="n">
        <f aca="false">IF(13&lt;Assumptions!$B$34,0,MIN(Assumptions!$B$35+(13-Assumptions!$B$34)*Assumptions!$B$36,30))</f>
        <v>5</v>
      </c>
      <c r="O8" s="19" t="n">
        <f aca="false">IF(14&lt;Assumptions!$B$34,0,MIN(Assumptions!$B$35+(14-Assumptions!$B$34)*Assumptions!$B$36,30))</f>
        <v>6</v>
      </c>
      <c r="P8" s="19" t="n">
        <f aca="false">IF(15&lt;Assumptions!$B$34,0,MIN(Assumptions!$B$35+(15-Assumptions!$B$34)*Assumptions!$B$36,30))</f>
        <v>7</v>
      </c>
      <c r="Q8" s="19" t="n">
        <f aca="false">IF(16&lt;Assumptions!$B$34,0,MIN(Assumptions!$B$35+(16-Assumptions!$B$34)*Assumptions!$B$36,30))</f>
        <v>8</v>
      </c>
      <c r="R8" s="19" t="n">
        <f aca="false">IF(17&lt;Assumptions!$B$34,0,MIN(Assumptions!$B$35+(17-Assumptions!$B$34)*Assumptions!$B$36,30))</f>
        <v>9</v>
      </c>
      <c r="S8" s="19" t="n">
        <f aca="false">IF(18&lt;Assumptions!$B$34,0,MIN(Assumptions!$B$35+(18-Assumptions!$B$34)*Assumptions!$B$36,30))</f>
        <v>10</v>
      </c>
      <c r="T8" s="19" t="n">
        <f aca="false">IF(19&lt;Assumptions!$B$34,0,MIN(Assumptions!$B$35+(19-Assumptions!$B$34)*Assumptions!$B$36,30))</f>
        <v>11</v>
      </c>
      <c r="U8" s="19" t="n">
        <f aca="false">IF(20&lt;Assumptions!$B$34,0,MIN(Assumptions!$B$35+(20-Assumptions!$B$34)*Assumptions!$B$36,30))</f>
        <v>12</v>
      </c>
      <c r="V8" s="19" t="n">
        <f aca="false">IF(21&lt;Assumptions!$B$34,0,MIN(Assumptions!$B$35+(21-Assumptions!$B$34)*Assumptions!$B$36,30))</f>
        <v>13</v>
      </c>
      <c r="W8" s="19" t="n">
        <f aca="false">IF(22&lt;Assumptions!$B$34,0,MIN(Assumptions!$B$35+(22-Assumptions!$B$34)*Assumptions!$B$36,30))</f>
        <v>14</v>
      </c>
      <c r="X8" s="19" t="n">
        <f aca="false">IF(23&lt;Assumptions!$B$34,0,MIN(Assumptions!$B$35+(23-Assumptions!$B$34)*Assumptions!$B$36,30))</f>
        <v>15</v>
      </c>
      <c r="Y8" s="19" t="n">
        <f aca="false">IF(24&lt;Assumptions!$B$34,0,MIN(Assumptions!$B$35+(24-Assumptions!$B$34)*Assumptions!$B$36,30))</f>
        <v>16</v>
      </c>
      <c r="Z8" s="20" t="n">
        <f aca="false">Y8</f>
        <v>16</v>
      </c>
    </row>
    <row r="10" customFormat="false" ht="15" hidden="false" customHeight="true" outlineLevel="0" collapsed="false">
      <c r="A10" s="4" t="s">
        <v>137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5" hidden="false" customHeight="true" outlineLevel="0" collapsed="false">
      <c r="A11" s="18" t="s">
        <v>138</v>
      </c>
      <c r="B11" s="21" t="n">
        <f aca="false">ROUND(B5*(Assumptions!$B$5*(1-Assumptions!$B$7)+Assumptions!$B$6*Assumptions!$B$7),0)</f>
        <v>37</v>
      </c>
      <c r="C11" s="21" t="n">
        <f aca="false">ROUND(C5*(Assumptions!$B$5*(1-Assumptions!$B$7)+Assumptions!$B$6*Assumptions!$B$7),0)</f>
        <v>87</v>
      </c>
      <c r="D11" s="21" t="n">
        <f aca="false">ROUND(D5*(Assumptions!$B$5*(1-Assumptions!$B$7)+Assumptions!$B$6*Assumptions!$B$7),0)</f>
        <v>150</v>
      </c>
      <c r="E11" s="21" t="n">
        <f aca="false">ROUND(E5*(Assumptions!$B$5*(1-Assumptions!$B$7)+Assumptions!$B$6*Assumptions!$B$7),0)</f>
        <v>212</v>
      </c>
      <c r="F11" s="21" t="n">
        <f aca="false">ROUND(F5*(Assumptions!$B$5*(1-Assumptions!$B$7)+Assumptions!$B$6*Assumptions!$B$7),0)</f>
        <v>287</v>
      </c>
      <c r="G11" s="21" t="n">
        <f aca="false">ROUND(G5*(Assumptions!$B$5*(1-Assumptions!$B$7)+Assumptions!$B$6*Assumptions!$B$7),0)</f>
        <v>375</v>
      </c>
      <c r="H11" s="21" t="n">
        <f aca="false">ROUND(H5*(Assumptions!$B$5*(1-Assumptions!$B$7)+Assumptions!$B$6*Assumptions!$B$7),0)</f>
        <v>437</v>
      </c>
      <c r="I11" s="21" t="n">
        <f aca="false">ROUND(I5*(Assumptions!$B$5*(1-Assumptions!$B$7)+Assumptions!$B$6*Assumptions!$B$7),0)</f>
        <v>512</v>
      </c>
      <c r="J11" s="21" t="n">
        <f aca="false">ROUND(J5*(Assumptions!$B$5*(1-Assumptions!$B$7)+Assumptions!$B$6*Assumptions!$B$7),0)</f>
        <v>587</v>
      </c>
      <c r="K11" s="21" t="n">
        <f aca="false">ROUND(K5*(Assumptions!$B$5*(1-Assumptions!$B$7)+Assumptions!$B$6*Assumptions!$B$7),0)</f>
        <v>687</v>
      </c>
      <c r="L11" s="21" t="n">
        <f aca="false">ROUND(L5*(Assumptions!$B$5*(1-Assumptions!$B$7)+Assumptions!$B$6*Assumptions!$B$7),0)</f>
        <v>787</v>
      </c>
      <c r="M11" s="21" t="n">
        <f aca="false">ROUND(M5*(Assumptions!$B$5*(1-Assumptions!$B$7)+Assumptions!$B$6*Assumptions!$B$7),0)</f>
        <v>912</v>
      </c>
      <c r="N11" s="21" t="n">
        <f aca="false">ROUND(N5*(Assumptions!$B$5*(1-Assumptions!$B$7)+Assumptions!$B$6*Assumptions!$B$7),0)</f>
        <v>962</v>
      </c>
      <c r="O11" s="21" t="n">
        <f aca="false">ROUND(O5*(Assumptions!$B$5*(1-Assumptions!$B$7)+Assumptions!$B$6*Assumptions!$B$7),0)</f>
        <v>1024</v>
      </c>
      <c r="P11" s="21" t="n">
        <f aca="false">ROUND(P5*(Assumptions!$B$5*(1-Assumptions!$B$7)+Assumptions!$B$6*Assumptions!$B$7),0)</f>
        <v>1087</v>
      </c>
      <c r="Q11" s="21" t="n">
        <f aca="false">ROUND(Q5*(Assumptions!$B$5*(1-Assumptions!$B$7)+Assumptions!$B$6*Assumptions!$B$7),0)</f>
        <v>1174</v>
      </c>
      <c r="R11" s="21" t="n">
        <f aca="false">ROUND(R5*(Assumptions!$B$5*(1-Assumptions!$B$7)+Assumptions!$B$6*Assumptions!$B$7),0)</f>
        <v>1261</v>
      </c>
      <c r="S11" s="21" t="n">
        <f aca="false">ROUND(S5*(Assumptions!$B$5*(1-Assumptions!$B$7)+Assumptions!$B$6*Assumptions!$B$7),0)</f>
        <v>1361</v>
      </c>
      <c r="T11" s="21" t="n">
        <f aca="false">ROUND(T5*(Assumptions!$B$5*(1-Assumptions!$B$7)+Assumptions!$B$6*Assumptions!$B$7),0)</f>
        <v>1411</v>
      </c>
      <c r="U11" s="21" t="n">
        <f aca="false">ROUND(U5*(Assumptions!$B$5*(1-Assumptions!$B$7)+Assumptions!$B$6*Assumptions!$B$7),0)</f>
        <v>1474</v>
      </c>
      <c r="V11" s="21" t="n">
        <f aca="false">ROUND(V5*(Assumptions!$B$5*(1-Assumptions!$B$7)+Assumptions!$B$6*Assumptions!$B$7),0)</f>
        <v>1549</v>
      </c>
      <c r="W11" s="21" t="n">
        <f aca="false">ROUND(W5*(Assumptions!$B$5*(1-Assumptions!$B$7)+Assumptions!$B$6*Assumptions!$B$7),0)</f>
        <v>1624</v>
      </c>
      <c r="X11" s="21" t="n">
        <f aca="false">ROUND(X5*(Assumptions!$B$5*(1-Assumptions!$B$7)+Assumptions!$B$6*Assumptions!$B$7),0)</f>
        <v>1711</v>
      </c>
      <c r="Y11" s="21" t="n">
        <f aca="false">ROUND(Y5*(Assumptions!$B$5*(1-Assumptions!$B$7)+Assumptions!$B$6*Assumptions!$B$7),0)</f>
        <v>1811</v>
      </c>
      <c r="Z11" s="22" t="n">
        <f aca="false">SUM(B11:Y11)</f>
        <v>21519</v>
      </c>
    </row>
    <row r="12" customFormat="false" ht="15" hidden="false" customHeight="true" outlineLevel="0" collapsed="false">
      <c r="A12" s="18" t="s">
        <v>139</v>
      </c>
      <c r="B12" s="21" t="n">
        <f aca="false">ROUND(B6*Assumptions!$B$9,0)</f>
        <v>0</v>
      </c>
      <c r="C12" s="21" t="n">
        <f aca="false">ROUND(C6*Assumptions!$B$9,0)</f>
        <v>0</v>
      </c>
      <c r="D12" s="21" t="n">
        <f aca="false">ROUND(D6*Assumptions!$B$9,0)</f>
        <v>0</v>
      </c>
      <c r="E12" s="21" t="n">
        <f aca="false">ROUND(E6*Assumptions!$B$9,0)</f>
        <v>0</v>
      </c>
      <c r="F12" s="21" t="n">
        <f aca="false">ROUND(F6*Assumptions!$B$9,0)</f>
        <v>0</v>
      </c>
      <c r="G12" s="21" t="n">
        <f aca="false">ROUND(G6*Assumptions!$B$9,0)</f>
        <v>0</v>
      </c>
      <c r="H12" s="21" t="n">
        <f aca="false">ROUND(H6*Assumptions!$B$9,0)</f>
        <v>0</v>
      </c>
      <c r="I12" s="21" t="n">
        <f aca="false">ROUND(I6*Assumptions!$B$9,0)</f>
        <v>0</v>
      </c>
      <c r="J12" s="21" t="n">
        <f aca="false">ROUND(J6*Assumptions!$B$9,0)</f>
        <v>62</v>
      </c>
      <c r="K12" s="21" t="n">
        <f aca="false">ROUND(K6*Assumptions!$B$9,0)</f>
        <v>75</v>
      </c>
      <c r="L12" s="21" t="n">
        <f aca="false">ROUND(L6*Assumptions!$B$9,0)</f>
        <v>87</v>
      </c>
      <c r="M12" s="21" t="n">
        <f aca="false">ROUND(M6*Assumptions!$B$9,0)</f>
        <v>100</v>
      </c>
      <c r="N12" s="21" t="n">
        <f aca="false">ROUND(N6*Assumptions!$B$9,0)</f>
        <v>112</v>
      </c>
      <c r="O12" s="21" t="n">
        <f aca="false">ROUND(O6*Assumptions!$B$9,0)</f>
        <v>125</v>
      </c>
      <c r="P12" s="21" t="n">
        <f aca="false">ROUND(P6*Assumptions!$B$9,0)</f>
        <v>150</v>
      </c>
      <c r="Q12" s="21" t="n">
        <f aca="false">ROUND(Q6*Assumptions!$B$9,0)</f>
        <v>175</v>
      </c>
      <c r="R12" s="21" t="n">
        <f aca="false">ROUND(R6*Assumptions!$B$9,0)</f>
        <v>200</v>
      </c>
      <c r="S12" s="21" t="n">
        <f aca="false">ROUND(S6*Assumptions!$B$9,0)</f>
        <v>225</v>
      </c>
      <c r="T12" s="21" t="n">
        <f aca="false">ROUND(T6*Assumptions!$B$9,0)</f>
        <v>250</v>
      </c>
      <c r="U12" s="21" t="n">
        <f aca="false">ROUND(U6*Assumptions!$B$9,0)</f>
        <v>275</v>
      </c>
      <c r="V12" s="21" t="n">
        <f aca="false">ROUND(V6*Assumptions!$B$9,0)</f>
        <v>300</v>
      </c>
      <c r="W12" s="21" t="n">
        <f aca="false">ROUND(W6*Assumptions!$B$9,0)</f>
        <v>337</v>
      </c>
      <c r="X12" s="21" t="n">
        <f aca="false">ROUND(X6*Assumptions!$B$9,0)</f>
        <v>375</v>
      </c>
      <c r="Y12" s="21" t="n">
        <f aca="false">ROUND(Y6*Assumptions!$B$9,0)</f>
        <v>425</v>
      </c>
      <c r="Z12" s="22" t="n">
        <f aca="false">SUM(B12:Y12)</f>
        <v>3273</v>
      </c>
    </row>
    <row r="13" customFormat="false" ht="15" hidden="false" customHeight="true" outlineLevel="0" collapsed="false">
      <c r="A13" s="18" t="s">
        <v>140</v>
      </c>
      <c r="B13" s="21" t="n">
        <f aca="false">B7*Assumptions!$B$8</f>
        <v>0</v>
      </c>
      <c r="C13" s="21" t="n">
        <f aca="false">C7*Assumptions!$B$8</f>
        <v>0</v>
      </c>
      <c r="D13" s="21" t="n">
        <f aca="false">D7*Assumptions!$B$8</f>
        <v>117</v>
      </c>
      <c r="E13" s="21" t="n">
        <f aca="false">E7*Assumptions!$B$8</f>
        <v>156</v>
      </c>
      <c r="F13" s="21" t="n">
        <f aca="false">F7*Assumptions!$B$8</f>
        <v>156</v>
      </c>
      <c r="G13" s="21" t="n">
        <f aca="false">G7*Assumptions!$B$8</f>
        <v>195</v>
      </c>
      <c r="H13" s="21" t="n">
        <f aca="false">H7*Assumptions!$B$8</f>
        <v>234</v>
      </c>
      <c r="I13" s="21" t="n">
        <f aca="false">I7*Assumptions!$B$8</f>
        <v>273</v>
      </c>
      <c r="J13" s="21" t="n">
        <f aca="false">J7*Assumptions!$B$8</f>
        <v>351</v>
      </c>
      <c r="K13" s="21" t="n">
        <f aca="false">K7*Assumptions!$B$8</f>
        <v>429</v>
      </c>
      <c r="L13" s="21" t="n">
        <f aca="false">L7*Assumptions!$B$8</f>
        <v>507</v>
      </c>
      <c r="M13" s="21" t="n">
        <f aca="false">M7*Assumptions!$B$8</f>
        <v>585</v>
      </c>
      <c r="N13" s="21" t="n">
        <f aca="false">N7*Assumptions!$B$8</f>
        <v>741</v>
      </c>
      <c r="O13" s="21" t="n">
        <f aca="false">O7*Assumptions!$B$8</f>
        <v>858</v>
      </c>
      <c r="P13" s="21" t="n">
        <f aca="false">P7*Assumptions!$B$8</f>
        <v>975</v>
      </c>
      <c r="Q13" s="21" t="n">
        <f aca="false">Q7*Assumptions!$B$8</f>
        <v>975</v>
      </c>
      <c r="R13" s="21" t="n">
        <f aca="false">R7*Assumptions!$B$8</f>
        <v>975</v>
      </c>
      <c r="S13" s="21" t="n">
        <f aca="false">S7*Assumptions!$B$8</f>
        <v>975</v>
      </c>
      <c r="T13" s="21" t="n">
        <f aca="false">T7*Assumptions!$B$8</f>
        <v>975</v>
      </c>
      <c r="U13" s="21" t="n">
        <f aca="false">U7*Assumptions!$B$8</f>
        <v>975</v>
      </c>
      <c r="V13" s="21" t="n">
        <f aca="false">V7*Assumptions!$B$8</f>
        <v>975</v>
      </c>
      <c r="W13" s="21" t="n">
        <f aca="false">W7*Assumptions!$B$8</f>
        <v>975</v>
      </c>
      <c r="X13" s="21" t="n">
        <f aca="false">X7*Assumptions!$B$8</f>
        <v>975</v>
      </c>
      <c r="Y13" s="21" t="n">
        <f aca="false">Y7*Assumptions!$B$8</f>
        <v>975</v>
      </c>
      <c r="Z13" s="22" t="n">
        <f aca="false">SUM(B13:Y13)</f>
        <v>14352</v>
      </c>
    </row>
    <row r="14" customFormat="false" ht="15" hidden="false" customHeight="true" outlineLevel="0" collapsed="false">
      <c r="A14" s="18" t="s">
        <v>141</v>
      </c>
      <c r="B14" s="21" t="n">
        <f aca="false">B8*Assumptions!$B$10</f>
        <v>0</v>
      </c>
      <c r="C14" s="21" t="n">
        <f aca="false">C8*Assumptions!$B$10</f>
        <v>0</v>
      </c>
      <c r="D14" s="21" t="n">
        <f aca="false">D8*Assumptions!$B$10</f>
        <v>0</v>
      </c>
      <c r="E14" s="21" t="n">
        <f aca="false">E8*Assumptions!$B$10</f>
        <v>0</v>
      </c>
      <c r="F14" s="21" t="n">
        <f aca="false">F8*Assumptions!$B$10</f>
        <v>0</v>
      </c>
      <c r="G14" s="21" t="n">
        <f aca="false">G8*Assumptions!$B$10</f>
        <v>0</v>
      </c>
      <c r="H14" s="21" t="n">
        <f aca="false">H8*Assumptions!$B$10</f>
        <v>0</v>
      </c>
      <c r="I14" s="21" t="n">
        <f aca="false">I8*Assumptions!$B$10</f>
        <v>0</v>
      </c>
      <c r="J14" s="21" t="n">
        <f aca="false">J8*Assumptions!$B$10</f>
        <v>0</v>
      </c>
      <c r="K14" s="21" t="n">
        <f aca="false">K8*Assumptions!$B$10</f>
        <v>200</v>
      </c>
      <c r="L14" s="21" t="n">
        <f aca="false">L8*Assumptions!$B$10</f>
        <v>300</v>
      </c>
      <c r="M14" s="21" t="n">
        <f aca="false">M8*Assumptions!$B$10</f>
        <v>400</v>
      </c>
      <c r="N14" s="21" t="n">
        <f aca="false">N8*Assumptions!$B$10</f>
        <v>500</v>
      </c>
      <c r="O14" s="21" t="n">
        <f aca="false">O8*Assumptions!$B$10</f>
        <v>600</v>
      </c>
      <c r="P14" s="21" t="n">
        <f aca="false">P8*Assumptions!$B$10</f>
        <v>700</v>
      </c>
      <c r="Q14" s="21" t="n">
        <f aca="false">Q8*Assumptions!$B$10</f>
        <v>800</v>
      </c>
      <c r="R14" s="21" t="n">
        <f aca="false">R8*Assumptions!$B$10</f>
        <v>900</v>
      </c>
      <c r="S14" s="21" t="n">
        <f aca="false">S8*Assumptions!$B$10</f>
        <v>1000</v>
      </c>
      <c r="T14" s="21" t="n">
        <f aca="false">T8*Assumptions!$B$10</f>
        <v>1100</v>
      </c>
      <c r="U14" s="21" t="n">
        <f aca="false">U8*Assumptions!$B$10</f>
        <v>1200</v>
      </c>
      <c r="V14" s="21" t="n">
        <f aca="false">V8*Assumptions!$B$10</f>
        <v>1300</v>
      </c>
      <c r="W14" s="21" t="n">
        <f aca="false">W8*Assumptions!$B$10</f>
        <v>1400</v>
      </c>
      <c r="X14" s="21" t="n">
        <f aca="false">X8*Assumptions!$B$10</f>
        <v>1500</v>
      </c>
      <c r="Y14" s="21" t="n">
        <f aca="false">Y8*Assumptions!$B$10</f>
        <v>1600</v>
      </c>
      <c r="Z14" s="22" t="n">
        <f aca="false">SUM(B14:Y14)</f>
        <v>13500</v>
      </c>
    </row>
    <row r="15" customFormat="false" ht="15" hidden="false" customHeight="true" outlineLevel="0" collapsed="false">
      <c r="A15" s="23" t="s">
        <v>142</v>
      </c>
      <c r="B15" s="24" t="n">
        <f aca="false">B11+B12+B13+B14</f>
        <v>37</v>
      </c>
      <c r="C15" s="24" t="n">
        <f aca="false">C11+C12+C13+C14</f>
        <v>87</v>
      </c>
      <c r="D15" s="24" t="n">
        <f aca="false">D11+D12+D13+D14</f>
        <v>267</v>
      </c>
      <c r="E15" s="24" t="n">
        <f aca="false">E11+E12+E13+E14</f>
        <v>368</v>
      </c>
      <c r="F15" s="24" t="n">
        <f aca="false">F11+F12+F13+F14</f>
        <v>443</v>
      </c>
      <c r="G15" s="24" t="n">
        <f aca="false">G11+G12+G13+G14</f>
        <v>570</v>
      </c>
      <c r="H15" s="24" t="n">
        <f aca="false">H11+H12+H13+H14</f>
        <v>671</v>
      </c>
      <c r="I15" s="24" t="n">
        <f aca="false">I11+I12+I13+I14</f>
        <v>785</v>
      </c>
      <c r="J15" s="24" t="n">
        <f aca="false">J11+J12+J13+J14</f>
        <v>1000</v>
      </c>
      <c r="K15" s="24" t="n">
        <f aca="false">K11+K12+K13+K14</f>
        <v>1391</v>
      </c>
      <c r="L15" s="24" t="n">
        <f aca="false">L11+L12+L13+L14</f>
        <v>1681</v>
      </c>
      <c r="M15" s="24" t="n">
        <f aca="false">M11+M12+M13+M14</f>
        <v>1997</v>
      </c>
      <c r="N15" s="24" t="n">
        <f aca="false">N11+N12+N13+N14</f>
        <v>2315</v>
      </c>
      <c r="O15" s="24" t="n">
        <f aca="false">O11+O12+O13+O14</f>
        <v>2607</v>
      </c>
      <c r="P15" s="24" t="n">
        <f aca="false">P11+P12+P13+P14</f>
        <v>2912</v>
      </c>
      <c r="Q15" s="24" t="n">
        <f aca="false">Q11+Q12+Q13+Q14</f>
        <v>3124</v>
      </c>
      <c r="R15" s="24" t="n">
        <f aca="false">R11+R12+R13+R14</f>
        <v>3336</v>
      </c>
      <c r="S15" s="24" t="n">
        <f aca="false">S11+S12+S13+S14</f>
        <v>3561</v>
      </c>
      <c r="T15" s="24" t="n">
        <f aca="false">T11+T12+T13+T14</f>
        <v>3736</v>
      </c>
      <c r="U15" s="24" t="n">
        <f aca="false">U11+U12+U13+U14</f>
        <v>3924</v>
      </c>
      <c r="V15" s="24" t="n">
        <f aca="false">V11+V12+V13+V14</f>
        <v>4124</v>
      </c>
      <c r="W15" s="24" t="n">
        <f aca="false">W11+W12+W13+W14</f>
        <v>4336</v>
      </c>
      <c r="X15" s="24" t="n">
        <f aca="false">X11+X12+X13+X14</f>
        <v>4561</v>
      </c>
      <c r="Y15" s="24" t="n">
        <f aca="false">Y11+Y12+Y13+Y14</f>
        <v>4811</v>
      </c>
      <c r="Z15" s="22" t="n">
        <f aca="false">SUM(B15:Y15)</f>
        <v>52644</v>
      </c>
    </row>
    <row r="17" customFormat="false" ht="15" hidden="false" customHeight="true" outlineLevel="0" collapsed="false">
      <c r="A17" s="4" t="s">
        <v>143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5" hidden="false" customHeight="true" outlineLevel="0" collapsed="false">
      <c r="A18" s="18" t="s">
        <v>144</v>
      </c>
      <c r="B18" s="21" t="n">
        <f aca="false">ROUND((B5+B6)*Assumptions!$B$39,0)</f>
        <v>4</v>
      </c>
      <c r="C18" s="21" t="n">
        <f aca="false">ROUND((C5+C6)*Assumptions!$B$39,0)</f>
        <v>9</v>
      </c>
      <c r="D18" s="21" t="n">
        <f aca="false">ROUND((D5+D6)*Assumptions!$B$39,0)</f>
        <v>15</v>
      </c>
      <c r="E18" s="21" t="n">
        <f aca="false">ROUND((E5+E6)*Assumptions!$B$39,0)</f>
        <v>21</v>
      </c>
      <c r="F18" s="21" t="n">
        <f aca="false">ROUND((F5+F6)*Assumptions!$B$39,0)</f>
        <v>29</v>
      </c>
      <c r="G18" s="21" t="n">
        <f aca="false">ROUND((G5+G6)*Assumptions!$B$39,0)</f>
        <v>38</v>
      </c>
      <c r="H18" s="21" t="n">
        <f aca="false">ROUND((H5+H6)*Assumptions!$B$39,0)</f>
        <v>44</v>
      </c>
      <c r="I18" s="21" t="n">
        <f aca="false">ROUND((I5+I6)*Assumptions!$B$39,0)</f>
        <v>51</v>
      </c>
      <c r="J18" s="21" t="n">
        <f aca="false">ROUND((J5+J6)*Assumptions!$B$39,0)</f>
        <v>65</v>
      </c>
      <c r="K18" s="21" t="n">
        <f aca="false">ROUND((K5+K6)*Assumptions!$B$39,0)</f>
        <v>76</v>
      </c>
      <c r="L18" s="21" t="n">
        <f aca="false">ROUND((L5+L6)*Assumptions!$B$39,0)</f>
        <v>88</v>
      </c>
      <c r="M18" s="21" t="n">
        <f aca="false">ROUND((M5+M6)*Assumptions!$B$39,0)</f>
        <v>101</v>
      </c>
      <c r="N18" s="21" t="n">
        <f aca="false">ROUND((N5+N6)*Assumptions!$B$39,0)</f>
        <v>108</v>
      </c>
      <c r="O18" s="21" t="n">
        <f aca="false">ROUND((O5+O6)*Assumptions!$B$39,0)</f>
        <v>115</v>
      </c>
      <c r="P18" s="21" t="n">
        <f aca="false">ROUND((P5+P6)*Assumptions!$B$39,0)</f>
        <v>124</v>
      </c>
      <c r="Q18" s="21" t="n">
        <f aca="false">ROUND((Q5+Q6)*Assumptions!$B$39,0)</f>
        <v>135</v>
      </c>
      <c r="R18" s="21" t="n">
        <f aca="false">ROUND((R5+R6)*Assumptions!$B$39,0)</f>
        <v>146</v>
      </c>
      <c r="S18" s="21" t="n">
        <f aca="false">ROUND((S5+S6)*Assumptions!$B$39,0)</f>
        <v>159</v>
      </c>
      <c r="T18" s="21" t="n">
        <f aca="false">ROUND((T5+T6)*Assumptions!$B$39,0)</f>
        <v>166</v>
      </c>
      <c r="U18" s="21" t="n">
        <f aca="false">ROUND((U5+U6)*Assumptions!$B$39,0)</f>
        <v>175</v>
      </c>
      <c r="V18" s="21" t="n">
        <f aca="false">ROUND((V5+V6)*Assumptions!$B$39,0)</f>
        <v>185</v>
      </c>
      <c r="W18" s="21" t="n">
        <f aca="false">ROUND((W5+W6)*Assumptions!$B$39,0)</f>
        <v>196</v>
      </c>
      <c r="X18" s="21" t="n">
        <f aca="false">ROUND((X5+X6)*Assumptions!$B$39,0)</f>
        <v>209</v>
      </c>
      <c r="Y18" s="21" t="n">
        <f aca="false">ROUND((Y5+Y6)*Assumptions!$B$39,0)</f>
        <v>224</v>
      </c>
      <c r="Z18" s="22" t="n">
        <f aca="false">SUM(B18:Y18)</f>
        <v>2483</v>
      </c>
    </row>
    <row r="19" customFormat="false" ht="15" hidden="false" customHeight="true" outlineLevel="0" collapsed="false">
      <c r="A19" s="18" t="s">
        <v>145</v>
      </c>
      <c r="B19" s="21" t="n">
        <f aca="false">ROUND(Assumptions!$B$40+(B5+B6)*Assumptions!$B$41,0)</f>
        <v>76</v>
      </c>
      <c r="C19" s="21" t="n">
        <f aca="false">ROUND(Assumptions!$B$40+(C5+C6)*Assumptions!$B$41,0)</f>
        <v>76</v>
      </c>
      <c r="D19" s="21" t="n">
        <f aca="false">ROUND(Assumptions!$B$40+(D5+D6)*Assumptions!$B$41,0)</f>
        <v>77</v>
      </c>
      <c r="E19" s="21" t="n">
        <f aca="false">ROUND(Assumptions!$B$40+(E5+E6)*Assumptions!$B$41,0)</f>
        <v>78</v>
      </c>
      <c r="F19" s="21" t="n">
        <f aca="false">ROUND(Assumptions!$B$40+(F5+F6)*Assumptions!$B$41,0)</f>
        <v>80</v>
      </c>
      <c r="G19" s="21" t="n">
        <f aca="false">ROUND(Assumptions!$B$40+(G5+G6)*Assumptions!$B$41,0)</f>
        <v>81</v>
      </c>
      <c r="H19" s="21" t="n">
        <f aca="false">ROUND(Assumptions!$B$40+(H5+H6)*Assumptions!$B$41,0)</f>
        <v>82</v>
      </c>
      <c r="I19" s="21" t="n">
        <f aca="false">ROUND(Assumptions!$B$40+(I5+I6)*Assumptions!$B$41,0)</f>
        <v>83</v>
      </c>
      <c r="J19" s="21" t="n">
        <f aca="false">ROUND(Assumptions!$B$40+(J5+J6)*Assumptions!$B$41,0)</f>
        <v>85</v>
      </c>
      <c r="K19" s="21" t="n">
        <f aca="false">ROUND(Assumptions!$B$40+(K5+K6)*Assumptions!$B$41,0)</f>
        <v>87</v>
      </c>
      <c r="L19" s="21" t="n">
        <f aca="false">ROUND(Assumptions!$B$40+(L5+L6)*Assumptions!$B$41,0)</f>
        <v>89</v>
      </c>
      <c r="M19" s="21" t="n">
        <f aca="false">ROUND(Assumptions!$B$40+(M5+M6)*Assumptions!$B$41,0)</f>
        <v>91</v>
      </c>
      <c r="N19" s="21" t="n">
        <f aca="false">ROUND(Assumptions!$B$40+(N5+N6)*Assumptions!$B$41,0)</f>
        <v>92</v>
      </c>
      <c r="O19" s="21" t="n">
        <f aca="false">ROUND(Assumptions!$B$40+(O5+O6)*Assumptions!$B$41,0)</f>
        <v>93</v>
      </c>
      <c r="P19" s="21" t="n">
        <f aca="false">ROUND(Assumptions!$B$40+(P5+P6)*Assumptions!$B$41,0)</f>
        <v>95</v>
      </c>
      <c r="Q19" s="21" t="n">
        <f aca="false">ROUND(Assumptions!$B$40+(Q5+Q6)*Assumptions!$B$41,0)</f>
        <v>97</v>
      </c>
      <c r="R19" s="21" t="n">
        <f aca="false">ROUND(Assumptions!$B$40+(R5+R6)*Assumptions!$B$41,0)</f>
        <v>98</v>
      </c>
      <c r="S19" s="21" t="n">
        <f aca="false">ROUND(Assumptions!$B$40+(S5+S6)*Assumptions!$B$41,0)</f>
        <v>100</v>
      </c>
      <c r="T19" s="21" t="n">
        <f aca="false">ROUND(Assumptions!$B$40+(T5+T6)*Assumptions!$B$41,0)</f>
        <v>102</v>
      </c>
      <c r="U19" s="21" t="n">
        <f aca="false">ROUND(Assumptions!$B$40+(U5+U6)*Assumptions!$B$41,0)</f>
        <v>103</v>
      </c>
      <c r="V19" s="21" t="n">
        <f aca="false">ROUND(Assumptions!$B$40+(V5+V6)*Assumptions!$B$41,0)</f>
        <v>105</v>
      </c>
      <c r="W19" s="21" t="n">
        <f aca="false">ROUND(Assumptions!$B$40+(W5+W6)*Assumptions!$B$41,0)</f>
        <v>106</v>
      </c>
      <c r="X19" s="21" t="n">
        <f aca="false">ROUND(Assumptions!$B$40+(X5+X6)*Assumptions!$B$41,0)</f>
        <v>108</v>
      </c>
      <c r="Y19" s="21" t="n">
        <f aca="false">ROUND(Assumptions!$B$40+(Y5+Y6)*Assumptions!$B$41,0)</f>
        <v>111</v>
      </c>
      <c r="Z19" s="22" t="n">
        <f aca="false">SUM(B19:Y19)</f>
        <v>2195</v>
      </c>
    </row>
    <row r="20" customFormat="false" ht="15" hidden="false" customHeight="true" outlineLevel="0" collapsed="false">
      <c r="A20" s="18" t="s">
        <v>146</v>
      </c>
      <c r="B20" s="21" t="n">
        <f aca="false">ROUND((B5+B6)*Assumptions!$B$42,0)</f>
        <v>0</v>
      </c>
      <c r="C20" s="21" t="n">
        <f aca="false">ROUND((C5+C6)*Assumptions!$B$42,0)</f>
        <v>1</v>
      </c>
      <c r="D20" s="21" t="n">
        <f aca="false">ROUND((D5+D6)*Assumptions!$B$42,0)</f>
        <v>1</v>
      </c>
      <c r="E20" s="21" t="n">
        <f aca="false">ROUND((E5+E6)*Assumptions!$B$42,0)</f>
        <v>2</v>
      </c>
      <c r="F20" s="21" t="n">
        <f aca="false">ROUND((F5+F6)*Assumptions!$B$42,0)</f>
        <v>3</v>
      </c>
      <c r="G20" s="21" t="n">
        <f aca="false">ROUND((G5+G6)*Assumptions!$B$42,0)</f>
        <v>4</v>
      </c>
      <c r="H20" s="21" t="n">
        <f aca="false">ROUND((H5+H6)*Assumptions!$B$42,0)</f>
        <v>4</v>
      </c>
      <c r="I20" s="21" t="n">
        <f aca="false">ROUND((I5+I6)*Assumptions!$B$42,0)</f>
        <v>5</v>
      </c>
      <c r="J20" s="21" t="n">
        <f aca="false">ROUND((J5+J6)*Assumptions!$B$42,0)</f>
        <v>6</v>
      </c>
      <c r="K20" s="21" t="n">
        <f aca="false">ROUND((K5+K6)*Assumptions!$B$42,0)</f>
        <v>7</v>
      </c>
      <c r="L20" s="21" t="n">
        <f aca="false">ROUND((L5+L6)*Assumptions!$B$42,0)</f>
        <v>8</v>
      </c>
      <c r="M20" s="21" t="n">
        <f aca="false">ROUND((M5+M6)*Assumptions!$B$42,0)</f>
        <v>10</v>
      </c>
      <c r="N20" s="21" t="n">
        <f aca="false">ROUND((N5+N6)*Assumptions!$B$42,0)</f>
        <v>10</v>
      </c>
      <c r="O20" s="21" t="n">
        <f aca="false">ROUND((O5+O6)*Assumptions!$B$42,0)</f>
        <v>11</v>
      </c>
      <c r="P20" s="21" t="n">
        <f aca="false">ROUND((P5+P6)*Assumptions!$B$42,0)</f>
        <v>12</v>
      </c>
      <c r="Q20" s="21" t="n">
        <f aca="false">ROUND((Q5+Q6)*Assumptions!$B$42,0)</f>
        <v>13</v>
      </c>
      <c r="R20" s="21" t="n">
        <f aca="false">ROUND((R5+R6)*Assumptions!$B$42,0)</f>
        <v>14</v>
      </c>
      <c r="S20" s="21" t="n">
        <f aca="false">ROUND((S5+S6)*Assumptions!$B$42,0)</f>
        <v>15</v>
      </c>
      <c r="T20" s="21" t="n">
        <f aca="false">ROUND((T5+T6)*Assumptions!$B$42,0)</f>
        <v>16</v>
      </c>
      <c r="U20" s="21" t="n">
        <f aca="false">ROUND((U5+U6)*Assumptions!$B$42,0)</f>
        <v>17</v>
      </c>
      <c r="V20" s="21" t="n">
        <f aca="false">ROUND((V5+V6)*Assumptions!$B$42,0)</f>
        <v>18</v>
      </c>
      <c r="W20" s="21" t="n">
        <f aca="false">ROUND((W5+W6)*Assumptions!$B$42,0)</f>
        <v>19</v>
      </c>
      <c r="X20" s="21" t="n">
        <f aca="false">ROUND((X5+X6)*Assumptions!$B$42,0)</f>
        <v>20</v>
      </c>
      <c r="Y20" s="21" t="n">
        <f aca="false">ROUND((Y5+Y6)*Assumptions!$B$42,0)</f>
        <v>21</v>
      </c>
      <c r="Z20" s="22" t="n">
        <f aca="false">SUM(B20:Y20)</f>
        <v>237</v>
      </c>
    </row>
    <row r="21" customFormat="false" ht="15" hidden="false" customHeight="true" outlineLevel="0" collapsed="false">
      <c r="A21" s="18" t="s">
        <v>147</v>
      </c>
      <c r="B21" s="21" t="n">
        <f aca="false">Assumptions!$B$45</f>
        <v>60</v>
      </c>
      <c r="C21" s="21" t="n">
        <f aca="false">Assumptions!$B$45</f>
        <v>60</v>
      </c>
      <c r="D21" s="21" t="n">
        <f aca="false">Assumptions!$B$45</f>
        <v>60</v>
      </c>
      <c r="E21" s="21" t="n">
        <f aca="false">Assumptions!$B$45</f>
        <v>60</v>
      </c>
      <c r="F21" s="21" t="n">
        <f aca="false">Assumptions!$B$45</f>
        <v>60</v>
      </c>
      <c r="G21" s="21" t="n">
        <f aca="false">Assumptions!$B$45</f>
        <v>60</v>
      </c>
      <c r="H21" s="21" t="n">
        <f aca="false">Assumptions!$B$45</f>
        <v>60</v>
      </c>
      <c r="I21" s="21" t="n">
        <f aca="false">Assumptions!$B$45</f>
        <v>60</v>
      </c>
      <c r="J21" s="21" t="n">
        <f aca="false">Assumptions!$B$45</f>
        <v>60</v>
      </c>
      <c r="K21" s="21" t="n">
        <f aca="false">Assumptions!$B$45</f>
        <v>60</v>
      </c>
      <c r="L21" s="21" t="n">
        <f aca="false">Assumptions!$B$45</f>
        <v>60</v>
      </c>
      <c r="M21" s="21" t="n">
        <f aca="false">Assumptions!$B$45</f>
        <v>60</v>
      </c>
      <c r="N21" s="21" t="n">
        <f aca="false">Assumptions!$B$45</f>
        <v>60</v>
      </c>
      <c r="O21" s="21" t="n">
        <f aca="false">Assumptions!$B$45</f>
        <v>60</v>
      </c>
      <c r="P21" s="21" t="n">
        <f aca="false">Assumptions!$B$45</f>
        <v>60</v>
      </c>
      <c r="Q21" s="21" t="n">
        <f aca="false">Assumptions!$B$45</f>
        <v>60</v>
      </c>
      <c r="R21" s="21" t="n">
        <f aca="false">Assumptions!$B$45</f>
        <v>60</v>
      </c>
      <c r="S21" s="21" t="n">
        <f aca="false">Assumptions!$B$45</f>
        <v>60</v>
      </c>
      <c r="T21" s="21" t="n">
        <f aca="false">Assumptions!$B$45</f>
        <v>60</v>
      </c>
      <c r="U21" s="21" t="n">
        <f aca="false">Assumptions!$B$45</f>
        <v>60</v>
      </c>
      <c r="V21" s="21" t="n">
        <f aca="false">Assumptions!$B$45</f>
        <v>60</v>
      </c>
      <c r="W21" s="21" t="n">
        <f aca="false">Assumptions!$B$45</f>
        <v>60</v>
      </c>
      <c r="X21" s="21" t="n">
        <f aca="false">Assumptions!$B$45</f>
        <v>60</v>
      </c>
      <c r="Y21" s="21" t="n">
        <f aca="false">Assumptions!$B$45</f>
        <v>60</v>
      </c>
      <c r="Z21" s="22" t="n">
        <f aca="false">SUM(B21:Y21)</f>
        <v>1440</v>
      </c>
    </row>
    <row r="22" customFormat="false" ht="15" hidden="false" customHeight="true" outlineLevel="0" collapsed="false">
      <c r="A22" s="18" t="s">
        <v>148</v>
      </c>
      <c r="B22" s="21" t="n">
        <f aca="false">IF(1&lt;=6,Assumptions!$B$46,IF(1&lt;=12,Assumptions!$B$47,Assumptions!$B$48))</f>
        <v>150</v>
      </c>
      <c r="C22" s="21" t="n">
        <f aca="false">IF(2&lt;=6,Assumptions!$B$46,IF(2&lt;=12,Assumptions!$B$47,Assumptions!$B$48))</f>
        <v>150</v>
      </c>
      <c r="D22" s="21" t="n">
        <f aca="false">IF(3&lt;=6,Assumptions!$B$46,IF(3&lt;=12,Assumptions!$B$47,Assumptions!$B$48))</f>
        <v>150</v>
      </c>
      <c r="E22" s="21" t="n">
        <f aca="false">IF(4&lt;=6,Assumptions!$B$46,IF(4&lt;=12,Assumptions!$B$47,Assumptions!$B$48))</f>
        <v>150</v>
      </c>
      <c r="F22" s="21" t="n">
        <f aca="false">IF(5&lt;=6,Assumptions!$B$46,IF(5&lt;=12,Assumptions!$B$47,Assumptions!$B$48))</f>
        <v>150</v>
      </c>
      <c r="G22" s="21" t="n">
        <f aca="false">IF(6&lt;=6,Assumptions!$B$46,IF(6&lt;=12,Assumptions!$B$47,Assumptions!$B$48))</f>
        <v>150</v>
      </c>
      <c r="H22" s="21" t="n">
        <f aca="false">IF(7&lt;=6,Assumptions!$B$46,IF(7&lt;=12,Assumptions!$B$47,Assumptions!$B$48))</f>
        <v>400</v>
      </c>
      <c r="I22" s="21" t="n">
        <f aca="false">IF(8&lt;=6,Assumptions!$B$46,IF(8&lt;=12,Assumptions!$B$47,Assumptions!$B$48))</f>
        <v>400</v>
      </c>
      <c r="J22" s="21" t="n">
        <f aca="false">IF(9&lt;=6,Assumptions!$B$46,IF(9&lt;=12,Assumptions!$B$47,Assumptions!$B$48))</f>
        <v>400</v>
      </c>
      <c r="K22" s="21" t="n">
        <f aca="false">IF(10&lt;=6,Assumptions!$B$46,IF(10&lt;=12,Assumptions!$B$47,Assumptions!$B$48))</f>
        <v>400</v>
      </c>
      <c r="L22" s="21" t="n">
        <f aca="false">IF(11&lt;=6,Assumptions!$B$46,IF(11&lt;=12,Assumptions!$B$47,Assumptions!$B$48))</f>
        <v>400</v>
      </c>
      <c r="M22" s="21" t="n">
        <f aca="false">IF(12&lt;=6,Assumptions!$B$46,IF(12&lt;=12,Assumptions!$B$47,Assumptions!$B$48))</f>
        <v>400</v>
      </c>
      <c r="N22" s="21" t="n">
        <f aca="false">IF(13&lt;=6,Assumptions!$B$46,IF(13&lt;=12,Assumptions!$B$47,Assumptions!$B$48))</f>
        <v>600</v>
      </c>
      <c r="O22" s="21" t="n">
        <f aca="false">IF(14&lt;=6,Assumptions!$B$46,IF(14&lt;=12,Assumptions!$B$47,Assumptions!$B$48))</f>
        <v>600</v>
      </c>
      <c r="P22" s="21" t="n">
        <f aca="false">IF(15&lt;=6,Assumptions!$B$46,IF(15&lt;=12,Assumptions!$B$47,Assumptions!$B$48))</f>
        <v>600</v>
      </c>
      <c r="Q22" s="21" t="n">
        <f aca="false">IF(16&lt;=6,Assumptions!$B$46,IF(16&lt;=12,Assumptions!$B$47,Assumptions!$B$48))</f>
        <v>600</v>
      </c>
      <c r="R22" s="21" t="n">
        <f aca="false">IF(17&lt;=6,Assumptions!$B$46,IF(17&lt;=12,Assumptions!$B$47,Assumptions!$B$48))</f>
        <v>600</v>
      </c>
      <c r="S22" s="21" t="n">
        <f aca="false">IF(18&lt;=6,Assumptions!$B$46,IF(18&lt;=12,Assumptions!$B$47,Assumptions!$B$48))</f>
        <v>600</v>
      </c>
      <c r="T22" s="21" t="n">
        <f aca="false">IF(19&lt;=6,Assumptions!$B$46,IF(19&lt;=12,Assumptions!$B$47,Assumptions!$B$48))</f>
        <v>600</v>
      </c>
      <c r="U22" s="21" t="n">
        <f aca="false">IF(20&lt;=6,Assumptions!$B$46,IF(20&lt;=12,Assumptions!$B$47,Assumptions!$B$48))</f>
        <v>600</v>
      </c>
      <c r="V22" s="21" t="n">
        <f aca="false">IF(21&lt;=6,Assumptions!$B$46,IF(21&lt;=12,Assumptions!$B$47,Assumptions!$B$48))</f>
        <v>600</v>
      </c>
      <c r="W22" s="21" t="n">
        <f aca="false">IF(22&lt;=6,Assumptions!$B$46,IF(22&lt;=12,Assumptions!$B$47,Assumptions!$B$48))</f>
        <v>600</v>
      </c>
      <c r="X22" s="21" t="n">
        <f aca="false">IF(23&lt;=6,Assumptions!$B$46,IF(23&lt;=12,Assumptions!$B$47,Assumptions!$B$48))</f>
        <v>600</v>
      </c>
      <c r="Y22" s="21" t="n">
        <f aca="false">IF(24&lt;=6,Assumptions!$B$46,IF(24&lt;=12,Assumptions!$B$47,Assumptions!$B$48))</f>
        <v>600</v>
      </c>
      <c r="Z22" s="22" t="n">
        <f aca="false">SUM(B22:Y22)</f>
        <v>10500</v>
      </c>
    </row>
    <row r="23" customFormat="false" ht="15" hidden="false" customHeight="true" outlineLevel="0" collapsed="false">
      <c r="A23" s="18" t="s">
        <v>149</v>
      </c>
      <c r="B23" s="21" t="n">
        <f aca="false">IF(1&gt;=7,Assumptions!$B$49,0)</f>
        <v>0</v>
      </c>
      <c r="C23" s="21" t="n">
        <f aca="false">IF(2&gt;=7,Assumptions!$B$49,0)</f>
        <v>0</v>
      </c>
      <c r="D23" s="21" t="n">
        <f aca="false">IF(3&gt;=7,Assumptions!$B$49,0)</f>
        <v>0</v>
      </c>
      <c r="E23" s="21" t="n">
        <f aca="false">IF(4&gt;=7,Assumptions!$B$49,0)</f>
        <v>0</v>
      </c>
      <c r="F23" s="21" t="n">
        <f aca="false">IF(5&gt;=7,Assumptions!$B$49,0)</f>
        <v>0</v>
      </c>
      <c r="G23" s="21" t="n">
        <f aca="false">IF(6&gt;=7,Assumptions!$B$49,0)</f>
        <v>0</v>
      </c>
      <c r="H23" s="21" t="n">
        <f aca="false">IF(7&gt;=7,Assumptions!$B$49,0)</f>
        <v>2500</v>
      </c>
      <c r="I23" s="21" t="n">
        <f aca="false">IF(8&gt;=7,Assumptions!$B$49,0)</f>
        <v>2500</v>
      </c>
      <c r="J23" s="21" t="n">
        <f aca="false">IF(9&gt;=7,Assumptions!$B$49,0)</f>
        <v>2500</v>
      </c>
      <c r="K23" s="21" t="n">
        <f aca="false">IF(10&gt;=7,Assumptions!$B$49,0)</f>
        <v>2500</v>
      </c>
      <c r="L23" s="21" t="n">
        <f aca="false">IF(11&gt;=7,Assumptions!$B$49,0)</f>
        <v>2500</v>
      </c>
      <c r="M23" s="21" t="n">
        <f aca="false">IF(12&gt;=7,Assumptions!$B$49,0)</f>
        <v>2500</v>
      </c>
      <c r="N23" s="21" t="n">
        <f aca="false">IF(13&gt;=7,Assumptions!$B$49,0)</f>
        <v>2500</v>
      </c>
      <c r="O23" s="21" t="n">
        <f aca="false">IF(14&gt;=7,Assumptions!$B$49,0)</f>
        <v>2500</v>
      </c>
      <c r="P23" s="21" t="n">
        <f aca="false">IF(15&gt;=7,Assumptions!$B$49,0)</f>
        <v>2500</v>
      </c>
      <c r="Q23" s="21" t="n">
        <f aca="false">IF(16&gt;=7,Assumptions!$B$49,0)</f>
        <v>2500</v>
      </c>
      <c r="R23" s="21" t="n">
        <f aca="false">IF(17&gt;=7,Assumptions!$B$49,0)</f>
        <v>2500</v>
      </c>
      <c r="S23" s="21" t="n">
        <f aca="false">IF(18&gt;=7,Assumptions!$B$49,0)</f>
        <v>2500</v>
      </c>
      <c r="T23" s="21" t="n">
        <f aca="false">IF(19&gt;=7,Assumptions!$B$49,0)</f>
        <v>2500</v>
      </c>
      <c r="U23" s="21" t="n">
        <f aca="false">IF(20&gt;=7,Assumptions!$B$49,0)</f>
        <v>2500</v>
      </c>
      <c r="V23" s="21" t="n">
        <f aca="false">IF(21&gt;=7,Assumptions!$B$49,0)</f>
        <v>2500</v>
      </c>
      <c r="W23" s="21" t="n">
        <f aca="false">IF(22&gt;=7,Assumptions!$B$49,0)</f>
        <v>2500</v>
      </c>
      <c r="X23" s="21" t="n">
        <f aca="false">IF(23&gt;=7,Assumptions!$B$49,0)</f>
        <v>2500</v>
      </c>
      <c r="Y23" s="21" t="n">
        <f aca="false">IF(24&gt;=7,Assumptions!$B$49,0)</f>
        <v>2500</v>
      </c>
      <c r="Z23" s="22" t="n">
        <f aca="false">SUM(B23:Y23)</f>
        <v>45000</v>
      </c>
    </row>
    <row r="24" customFormat="false" ht="15" hidden="false" customHeight="true" outlineLevel="0" collapsed="false">
      <c r="A24" s="18" t="s">
        <v>150</v>
      </c>
      <c r="B24" s="21" t="n">
        <f aca="false">IF(MOD(1,3)=0,Assumptions!$B$50,0)</f>
        <v>0</v>
      </c>
      <c r="C24" s="21" t="n">
        <f aca="false">IF(MOD(2,3)=0,Assumptions!$B$50,0)</f>
        <v>0</v>
      </c>
      <c r="D24" s="21" t="n">
        <f aca="false">IF(MOD(3,3)=0,Assumptions!$B$50,0)</f>
        <v>750</v>
      </c>
      <c r="E24" s="21" t="n">
        <f aca="false">IF(MOD(4,3)=0,Assumptions!$B$50,0)</f>
        <v>0</v>
      </c>
      <c r="F24" s="21" t="n">
        <f aca="false">IF(MOD(5,3)=0,Assumptions!$B$50,0)</f>
        <v>0</v>
      </c>
      <c r="G24" s="21" t="n">
        <f aca="false">IF(MOD(6,3)=0,Assumptions!$B$50,0)</f>
        <v>750</v>
      </c>
      <c r="H24" s="21" t="n">
        <f aca="false">IF(MOD(7,3)=0,Assumptions!$B$50,0)</f>
        <v>0</v>
      </c>
      <c r="I24" s="21" t="n">
        <f aca="false">IF(MOD(8,3)=0,Assumptions!$B$50,0)</f>
        <v>0</v>
      </c>
      <c r="J24" s="21" t="n">
        <f aca="false">IF(MOD(9,3)=0,Assumptions!$B$50,0)</f>
        <v>750</v>
      </c>
      <c r="K24" s="21" t="n">
        <f aca="false">IF(MOD(10,3)=0,Assumptions!$B$50,0)</f>
        <v>0</v>
      </c>
      <c r="L24" s="21" t="n">
        <f aca="false">IF(MOD(11,3)=0,Assumptions!$B$50,0)</f>
        <v>0</v>
      </c>
      <c r="M24" s="21" t="n">
        <f aca="false">IF(MOD(12,3)=0,Assumptions!$B$50,0)</f>
        <v>750</v>
      </c>
      <c r="N24" s="21" t="n">
        <f aca="false">IF(MOD(13,3)=0,Assumptions!$B$50,0)</f>
        <v>0</v>
      </c>
      <c r="O24" s="21" t="n">
        <f aca="false">IF(MOD(14,3)=0,Assumptions!$B$50,0)</f>
        <v>0</v>
      </c>
      <c r="P24" s="21" t="n">
        <f aca="false">IF(MOD(15,3)=0,Assumptions!$B$50,0)</f>
        <v>750</v>
      </c>
      <c r="Q24" s="21" t="n">
        <f aca="false">IF(MOD(16,3)=0,Assumptions!$B$50,0)</f>
        <v>0</v>
      </c>
      <c r="R24" s="21" t="n">
        <f aca="false">IF(MOD(17,3)=0,Assumptions!$B$50,0)</f>
        <v>0</v>
      </c>
      <c r="S24" s="21" t="n">
        <f aca="false">IF(MOD(18,3)=0,Assumptions!$B$50,0)</f>
        <v>750</v>
      </c>
      <c r="T24" s="21" t="n">
        <f aca="false">IF(MOD(19,3)=0,Assumptions!$B$50,0)</f>
        <v>0</v>
      </c>
      <c r="U24" s="21" t="n">
        <f aca="false">IF(MOD(20,3)=0,Assumptions!$B$50,0)</f>
        <v>0</v>
      </c>
      <c r="V24" s="21" t="n">
        <f aca="false">IF(MOD(21,3)=0,Assumptions!$B$50,0)</f>
        <v>750</v>
      </c>
      <c r="W24" s="21" t="n">
        <f aca="false">IF(MOD(22,3)=0,Assumptions!$B$50,0)</f>
        <v>0</v>
      </c>
      <c r="X24" s="21" t="n">
        <f aca="false">IF(MOD(23,3)=0,Assumptions!$B$50,0)</f>
        <v>0</v>
      </c>
      <c r="Y24" s="21" t="n">
        <f aca="false">IF(MOD(24,3)=0,Assumptions!$B$50,0)</f>
        <v>750</v>
      </c>
      <c r="Z24" s="22" t="n">
        <f aca="false">SUM(B24:Y24)</f>
        <v>6000</v>
      </c>
    </row>
    <row r="25" customFormat="false" ht="15" hidden="false" customHeight="true" outlineLevel="0" collapsed="false">
      <c r="A25" s="18" t="s">
        <v>151</v>
      </c>
      <c r="B25" s="21" t="n">
        <f aca="false">IF(1&lt;=6,Assumptions!$B$53,IF(1&lt;=12,Assumptions!$B$54,Assumptions!$B$55))</f>
        <v>2000</v>
      </c>
      <c r="C25" s="21" t="n">
        <f aca="false">IF(2&lt;=6,Assumptions!$B$53,IF(2&lt;=12,Assumptions!$B$54,Assumptions!$B$55))</f>
        <v>2000</v>
      </c>
      <c r="D25" s="21" t="n">
        <f aca="false">IF(3&lt;=6,Assumptions!$B$53,IF(3&lt;=12,Assumptions!$B$54,Assumptions!$B$55))</f>
        <v>2000</v>
      </c>
      <c r="E25" s="21" t="n">
        <f aca="false">IF(4&lt;=6,Assumptions!$B$53,IF(4&lt;=12,Assumptions!$B$54,Assumptions!$B$55))</f>
        <v>2000</v>
      </c>
      <c r="F25" s="21" t="n">
        <f aca="false">IF(5&lt;=6,Assumptions!$B$53,IF(5&lt;=12,Assumptions!$B$54,Assumptions!$B$55))</f>
        <v>2000</v>
      </c>
      <c r="G25" s="21" t="n">
        <f aca="false">IF(6&lt;=6,Assumptions!$B$53,IF(6&lt;=12,Assumptions!$B$54,Assumptions!$B$55))</f>
        <v>2000</v>
      </c>
      <c r="H25" s="21" t="n">
        <f aca="false">IF(7&lt;=6,Assumptions!$B$53,IF(7&lt;=12,Assumptions!$B$54,Assumptions!$B$55))</f>
        <v>3000</v>
      </c>
      <c r="I25" s="21" t="n">
        <f aca="false">IF(8&lt;=6,Assumptions!$B$53,IF(8&lt;=12,Assumptions!$B$54,Assumptions!$B$55))</f>
        <v>3000</v>
      </c>
      <c r="J25" s="21" t="n">
        <f aca="false">IF(9&lt;=6,Assumptions!$B$53,IF(9&lt;=12,Assumptions!$B$54,Assumptions!$B$55))</f>
        <v>3000</v>
      </c>
      <c r="K25" s="21" t="n">
        <f aca="false">IF(10&lt;=6,Assumptions!$B$53,IF(10&lt;=12,Assumptions!$B$54,Assumptions!$B$55))</f>
        <v>3000</v>
      </c>
      <c r="L25" s="21" t="n">
        <f aca="false">IF(11&lt;=6,Assumptions!$B$53,IF(11&lt;=12,Assumptions!$B$54,Assumptions!$B$55))</f>
        <v>3000</v>
      </c>
      <c r="M25" s="21" t="n">
        <f aca="false">IF(12&lt;=6,Assumptions!$B$53,IF(12&lt;=12,Assumptions!$B$54,Assumptions!$B$55))</f>
        <v>3000</v>
      </c>
      <c r="N25" s="21" t="n">
        <f aca="false">IF(13&lt;=6,Assumptions!$B$53,IF(13&lt;=12,Assumptions!$B$54,Assumptions!$B$55))</f>
        <v>4000</v>
      </c>
      <c r="O25" s="21" t="n">
        <f aca="false">IF(14&lt;=6,Assumptions!$B$53,IF(14&lt;=12,Assumptions!$B$54,Assumptions!$B$55))</f>
        <v>4000</v>
      </c>
      <c r="P25" s="21" t="n">
        <f aca="false">IF(15&lt;=6,Assumptions!$B$53,IF(15&lt;=12,Assumptions!$B$54,Assumptions!$B$55))</f>
        <v>4000</v>
      </c>
      <c r="Q25" s="21" t="n">
        <f aca="false">IF(16&lt;=6,Assumptions!$B$53,IF(16&lt;=12,Assumptions!$B$54,Assumptions!$B$55))</f>
        <v>4000</v>
      </c>
      <c r="R25" s="21" t="n">
        <f aca="false">IF(17&lt;=6,Assumptions!$B$53,IF(17&lt;=12,Assumptions!$B$54,Assumptions!$B$55))</f>
        <v>4000</v>
      </c>
      <c r="S25" s="21" t="n">
        <f aca="false">IF(18&lt;=6,Assumptions!$B$53,IF(18&lt;=12,Assumptions!$B$54,Assumptions!$B$55))</f>
        <v>4000</v>
      </c>
      <c r="T25" s="21" t="n">
        <f aca="false">IF(19&lt;=6,Assumptions!$B$53,IF(19&lt;=12,Assumptions!$B$54,Assumptions!$B$55))</f>
        <v>4000</v>
      </c>
      <c r="U25" s="21" t="n">
        <f aca="false">IF(20&lt;=6,Assumptions!$B$53,IF(20&lt;=12,Assumptions!$B$54,Assumptions!$B$55))</f>
        <v>4000</v>
      </c>
      <c r="V25" s="21" t="n">
        <f aca="false">IF(21&lt;=6,Assumptions!$B$53,IF(21&lt;=12,Assumptions!$B$54,Assumptions!$B$55))</f>
        <v>4000</v>
      </c>
      <c r="W25" s="21" t="n">
        <f aca="false">IF(22&lt;=6,Assumptions!$B$53,IF(22&lt;=12,Assumptions!$B$54,Assumptions!$B$55))</f>
        <v>4000</v>
      </c>
      <c r="X25" s="21" t="n">
        <f aca="false">IF(23&lt;=6,Assumptions!$B$53,IF(23&lt;=12,Assumptions!$B$54,Assumptions!$B$55))</f>
        <v>4000</v>
      </c>
      <c r="Y25" s="21" t="n">
        <f aca="false">IF(24&lt;=6,Assumptions!$B$53,IF(24&lt;=12,Assumptions!$B$54,Assumptions!$B$55))</f>
        <v>4000</v>
      </c>
      <c r="Z25" s="22" t="n">
        <f aca="false">SUM(B25:Y25)</f>
        <v>78000</v>
      </c>
    </row>
    <row r="26" customFormat="false" ht="15" hidden="false" customHeight="true" outlineLevel="0" collapsed="false">
      <c r="A26" s="23" t="s">
        <v>152</v>
      </c>
      <c r="B26" s="24" t="n">
        <f aca="false">B18+B19+B20+B21+B22+B23+B24+B25</f>
        <v>2290</v>
      </c>
      <c r="C26" s="24" t="n">
        <f aca="false">C18+C19+C20+C21+C22+C23+C24+C25</f>
        <v>2296</v>
      </c>
      <c r="D26" s="24" t="n">
        <f aca="false">D18+D19+D20+D21+D22+D23+D24+D25</f>
        <v>3053</v>
      </c>
      <c r="E26" s="24" t="n">
        <f aca="false">E18+E19+E20+E21+E22+E23+E24+E25</f>
        <v>2311</v>
      </c>
      <c r="F26" s="24" t="n">
        <f aca="false">F18+F19+F20+F21+F22+F23+F24+F25</f>
        <v>2322</v>
      </c>
      <c r="G26" s="24" t="n">
        <f aca="false">G18+G19+G20+G21+G22+G23+G24+G25</f>
        <v>3083</v>
      </c>
      <c r="H26" s="24" t="n">
        <f aca="false">H18+H19+H20+H21+H22+H23+H24+H25</f>
        <v>6090</v>
      </c>
      <c r="I26" s="24" t="n">
        <f aca="false">I18+I19+I20+I21+I22+I23+I24+I25</f>
        <v>6099</v>
      </c>
      <c r="J26" s="24" t="n">
        <f aca="false">J18+J19+J20+J21+J22+J23+J24+J25</f>
        <v>6866</v>
      </c>
      <c r="K26" s="24" t="n">
        <f aca="false">K18+K19+K20+K21+K22+K23+K24+K25</f>
        <v>6130</v>
      </c>
      <c r="L26" s="24" t="n">
        <f aca="false">L18+L19+L20+L21+L22+L23+L24+L25</f>
        <v>6145</v>
      </c>
      <c r="M26" s="24" t="n">
        <f aca="false">M18+M19+M20+M21+M22+M23+M24+M25</f>
        <v>6912</v>
      </c>
      <c r="N26" s="24" t="n">
        <f aca="false">N18+N19+N20+N21+N22+N23+N24+N25</f>
        <v>7370</v>
      </c>
      <c r="O26" s="24" t="n">
        <f aca="false">O18+O19+O20+O21+O22+O23+O24+O25</f>
        <v>7379</v>
      </c>
      <c r="P26" s="24" t="n">
        <f aca="false">P18+P19+P20+P21+P22+P23+P24+P25</f>
        <v>8141</v>
      </c>
      <c r="Q26" s="24" t="n">
        <f aca="false">Q18+Q19+Q20+Q21+Q22+Q23+Q24+Q25</f>
        <v>7405</v>
      </c>
      <c r="R26" s="24" t="n">
        <f aca="false">R18+R19+R20+R21+R22+R23+R24+R25</f>
        <v>7418</v>
      </c>
      <c r="S26" s="24" t="n">
        <f aca="false">S18+S19+S20+S21+S22+S23+S24+S25</f>
        <v>8184</v>
      </c>
      <c r="T26" s="24" t="n">
        <f aca="false">T18+T19+T20+T21+T22+T23+T24+T25</f>
        <v>7444</v>
      </c>
      <c r="U26" s="24" t="n">
        <f aca="false">U18+U19+U20+U21+U22+U23+U24+U25</f>
        <v>7455</v>
      </c>
      <c r="V26" s="24" t="n">
        <f aca="false">V18+V19+V20+V21+V22+V23+V24+V25</f>
        <v>8218</v>
      </c>
      <c r="W26" s="24" t="n">
        <f aca="false">W18+W19+W20+W21+W22+W23+W24+W25</f>
        <v>7481</v>
      </c>
      <c r="X26" s="24" t="n">
        <f aca="false">X18+X19+X20+X21+X22+X23+X24+X25</f>
        <v>7497</v>
      </c>
      <c r="Y26" s="24" t="n">
        <f aca="false">Y18+Y19+Y20+Y21+Y22+Y23+Y24+Y25</f>
        <v>8266</v>
      </c>
      <c r="Z26" s="22" t="n">
        <f aca="false">SUM(B26:Y26)</f>
        <v>145855</v>
      </c>
    </row>
    <row r="28" customFormat="false" ht="15" hidden="false" customHeight="true" outlineLevel="0" collapsed="false">
      <c r="A28" s="4" t="s">
        <v>153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5" hidden="false" customHeight="true" outlineLevel="0" collapsed="false">
      <c r="A29" s="23" t="s">
        <v>154</v>
      </c>
      <c r="B29" s="24" t="n">
        <f aca="false">B15-B26</f>
        <v>-2253</v>
      </c>
      <c r="C29" s="24" t="n">
        <f aca="false">C15-C26</f>
        <v>-2209</v>
      </c>
      <c r="D29" s="24" t="n">
        <f aca="false">D15-D26</f>
        <v>-2786</v>
      </c>
      <c r="E29" s="24" t="n">
        <f aca="false">E15-E26</f>
        <v>-1943</v>
      </c>
      <c r="F29" s="24" t="n">
        <f aca="false">F15-F26</f>
        <v>-1879</v>
      </c>
      <c r="G29" s="24" t="n">
        <f aca="false">G15-G26</f>
        <v>-2513</v>
      </c>
      <c r="H29" s="24" t="n">
        <f aca="false">H15-H26</f>
        <v>-5419</v>
      </c>
      <c r="I29" s="24" t="n">
        <f aca="false">I15-I26</f>
        <v>-5314</v>
      </c>
      <c r="J29" s="24" t="n">
        <f aca="false">J15-J26</f>
        <v>-5866</v>
      </c>
      <c r="K29" s="24" t="n">
        <f aca="false">K15-K26</f>
        <v>-4739</v>
      </c>
      <c r="L29" s="24" t="n">
        <f aca="false">L15-L26</f>
        <v>-4464</v>
      </c>
      <c r="M29" s="24" t="n">
        <f aca="false">M15-M26</f>
        <v>-4915</v>
      </c>
      <c r="N29" s="24" t="n">
        <f aca="false">N15-N26</f>
        <v>-5055</v>
      </c>
      <c r="O29" s="24" t="n">
        <f aca="false">O15-O26</f>
        <v>-4772</v>
      </c>
      <c r="P29" s="24" t="n">
        <f aca="false">P15-P26</f>
        <v>-5229</v>
      </c>
      <c r="Q29" s="24" t="n">
        <f aca="false">Q15-Q26</f>
        <v>-4281</v>
      </c>
      <c r="R29" s="24" t="n">
        <f aca="false">R15-R26</f>
        <v>-4082</v>
      </c>
      <c r="S29" s="24" t="n">
        <f aca="false">S15-S26</f>
        <v>-4623</v>
      </c>
      <c r="T29" s="24" t="n">
        <f aca="false">T15-T26</f>
        <v>-3708</v>
      </c>
      <c r="U29" s="24" t="n">
        <f aca="false">U15-U26</f>
        <v>-3531</v>
      </c>
      <c r="V29" s="24" t="n">
        <f aca="false">V15-V26</f>
        <v>-4094</v>
      </c>
      <c r="W29" s="24" t="n">
        <f aca="false">W15-W26</f>
        <v>-3145</v>
      </c>
      <c r="X29" s="24" t="n">
        <f aca="false">X15-X26</f>
        <v>-2936</v>
      </c>
      <c r="Y29" s="24" t="n">
        <f aca="false">Y15-Y26</f>
        <v>-3455</v>
      </c>
      <c r="Z29" s="22" t="n">
        <f aca="false">SUM(B29:Y29)</f>
        <v>-93211</v>
      </c>
    </row>
    <row r="30" customFormat="false" ht="15" hidden="false" customHeight="true" outlineLevel="0" collapsed="false">
      <c r="A30" s="18" t="s">
        <v>155</v>
      </c>
      <c r="B30" s="25" t="n">
        <f aca="false">IF(B15=0,0,(B15-(B18+B19+B20))/B15)</f>
        <v>-1.16216216216216</v>
      </c>
      <c r="C30" s="25" t="n">
        <f aca="false">IF(C15=0,0,(C15-(C18+C19+C20))/C15)</f>
        <v>0.0114942528735632</v>
      </c>
      <c r="D30" s="25" t="n">
        <f aca="false">IF(D15=0,0,(D15-(D18+D19+D20))/D15)</f>
        <v>0.651685393258427</v>
      </c>
      <c r="E30" s="25" t="n">
        <f aca="false">IF(E15=0,0,(E15-(E18+E19+E20))/E15)</f>
        <v>0.72554347826087</v>
      </c>
      <c r="F30" s="25" t="n">
        <f aca="false">IF(F15=0,0,(F15-(F18+F19+F20))/F15)</f>
        <v>0.747178329571106</v>
      </c>
      <c r="G30" s="25" t="n">
        <f aca="false">IF(G15=0,0,(G15-(G18+G19+G20))/G15)</f>
        <v>0.78421052631579</v>
      </c>
      <c r="H30" s="25" t="n">
        <f aca="false">IF(H15=0,0,(H15-(H18+H19+H20))/H15)</f>
        <v>0.806259314456036</v>
      </c>
      <c r="I30" s="25" t="n">
        <f aca="false">IF(I15=0,0,(I15-(I18+I19+I20))/I15)</f>
        <v>0.822929936305733</v>
      </c>
      <c r="J30" s="25" t="n">
        <f aca="false">IF(J15=0,0,(J15-(J18+J19+J20))/J15)</f>
        <v>0.844</v>
      </c>
      <c r="K30" s="25" t="n">
        <f aca="false">IF(K15=0,0,(K15-(K18+K19+K20))/K15)</f>
        <v>0.877785765636233</v>
      </c>
      <c r="L30" s="25" t="n">
        <f aca="false">IF(L15=0,0,(L15-(L18+L19+L20))/L15)</f>
        <v>0.889946460440214</v>
      </c>
      <c r="M30" s="25" t="n">
        <f aca="false">IF(M15=0,0,(M15-(M18+M19+M20))/M15)</f>
        <v>0.898848272408613</v>
      </c>
      <c r="N30" s="25" t="n">
        <f aca="false">IF(N15=0,0,(N15-(N18+N19+N20))/N15)</f>
        <v>0.909287257019439</v>
      </c>
      <c r="O30" s="25" t="n">
        <f aca="false">IF(O15=0,0,(O15-(O18+O19+O20))/O15)</f>
        <v>0.915995397008055</v>
      </c>
      <c r="P30" s="25" t="n">
        <f aca="false">IF(P15=0,0,(P15-(P18+P19+P20))/P15)</f>
        <v>0.920673076923077</v>
      </c>
      <c r="Q30" s="25" t="n">
        <f aca="false">IF(Q15=0,0,(Q15-(Q18+Q19+Q20))/Q15)</f>
        <v>0.92157490396927</v>
      </c>
      <c r="R30" s="25" t="n">
        <f aca="false">IF(R15=0,0,(R15-(R18+R19+R20))/R15)</f>
        <v>0.922661870503597</v>
      </c>
      <c r="S30" s="25" t="n">
        <f aca="false">IF(S15=0,0,(S15-(S18+S19+S20))/S15)</f>
        <v>0.923055321538894</v>
      </c>
      <c r="T30" s="25" t="n">
        <f aca="false">IF(T15=0,0,(T15-(T18+T19+T20))/T15)</f>
        <v>0.923982869379015</v>
      </c>
      <c r="U30" s="25" t="n">
        <f aca="false">IF(U15=0,0,(U15-(U18+U19+U20))/U15)</f>
        <v>0.924821610601427</v>
      </c>
      <c r="V30" s="25" t="n">
        <f aca="false">IF(V15=0,0,(V15-(V18+V19+V20))/V15)</f>
        <v>0.925315227934045</v>
      </c>
      <c r="W30" s="25" t="n">
        <f aca="false">IF(W15=0,0,(W15-(W18+W19+W20))/W15)</f>
        <v>0.925968634686347</v>
      </c>
      <c r="X30" s="25" t="n">
        <f aca="false">IF(X15=0,0,(X15-(X18+X19+X20))/X15)</f>
        <v>0.926112694584521</v>
      </c>
      <c r="Y30" s="25" t="n">
        <f aca="false">IF(Y15=0,0,(Y15-(Y18+Y19+Y20))/Y15)</f>
        <v>0.926002909997922</v>
      </c>
      <c r="Z30" s="26" t="n">
        <f aca="false">AVERAGE(B30:Y30)</f>
        <v>0.748465472562918</v>
      </c>
    </row>
    <row r="31" customFormat="false" ht="15" hidden="false" customHeight="true" outlineLevel="0" collapsed="false">
      <c r="A31" s="6" t="s">
        <v>156</v>
      </c>
      <c r="B31" s="21" t="n">
        <f aca="false">B29</f>
        <v>-2253</v>
      </c>
      <c r="C31" s="21" t="n">
        <f aca="false">B31+C29</f>
        <v>-4462</v>
      </c>
      <c r="D31" s="21" t="n">
        <f aca="false">C31+D29</f>
        <v>-7248</v>
      </c>
      <c r="E31" s="21" t="n">
        <f aca="false">D31+E29</f>
        <v>-9191</v>
      </c>
      <c r="F31" s="21" t="n">
        <f aca="false">E31+F29</f>
        <v>-11070</v>
      </c>
      <c r="G31" s="21" t="n">
        <f aca="false">F31+G29</f>
        <v>-13583</v>
      </c>
      <c r="H31" s="21" t="n">
        <f aca="false">G31+H29</f>
        <v>-19002</v>
      </c>
      <c r="I31" s="21" t="n">
        <f aca="false">H31+I29</f>
        <v>-24316</v>
      </c>
      <c r="J31" s="21" t="n">
        <f aca="false">I31+J29</f>
        <v>-30182</v>
      </c>
      <c r="K31" s="21" t="n">
        <f aca="false">J31+K29</f>
        <v>-34921</v>
      </c>
      <c r="L31" s="21" t="n">
        <f aca="false">K31+L29</f>
        <v>-39385</v>
      </c>
      <c r="M31" s="21" t="n">
        <f aca="false">L31+M29</f>
        <v>-44300</v>
      </c>
      <c r="N31" s="21" t="n">
        <f aca="false">M31+N29</f>
        <v>-49355</v>
      </c>
      <c r="O31" s="21" t="n">
        <f aca="false">N31+O29</f>
        <v>-54127</v>
      </c>
      <c r="P31" s="21" t="n">
        <f aca="false">O31+P29</f>
        <v>-59356</v>
      </c>
      <c r="Q31" s="21" t="n">
        <f aca="false">P31+Q29</f>
        <v>-63637</v>
      </c>
      <c r="R31" s="21" t="n">
        <f aca="false">Q31+R29</f>
        <v>-67719</v>
      </c>
      <c r="S31" s="21" t="n">
        <f aca="false">R31+S29</f>
        <v>-72342</v>
      </c>
      <c r="T31" s="21" t="n">
        <f aca="false">S31+T29</f>
        <v>-76050</v>
      </c>
      <c r="U31" s="21" t="n">
        <f aca="false">T31+U29</f>
        <v>-79581</v>
      </c>
      <c r="V31" s="21" t="n">
        <f aca="false">U31+V29</f>
        <v>-83675</v>
      </c>
      <c r="W31" s="21" t="n">
        <f aca="false">V31+W29</f>
        <v>-86820</v>
      </c>
      <c r="X31" s="21" t="n">
        <f aca="false">W31+X29</f>
        <v>-89756</v>
      </c>
      <c r="Y31" s="21" t="n">
        <f aca="false">X31+Y29</f>
        <v>-93211</v>
      </c>
      <c r="Z31" s="22" t="n">
        <f aca="false">Y31</f>
        <v>-93211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70"/>
    <col collapsed="false" customWidth="true" hidden="false" outlineLevel="0" max="3" min="3" style="1" width="30"/>
  </cols>
  <sheetData>
    <row r="1" customFormat="false" ht="17.25" hidden="false" customHeight="true" outlineLevel="0" collapsed="false">
      <c r="A1" s="2" t="s">
        <v>157</v>
      </c>
    </row>
    <row r="2" customFormat="false" ht="15" hidden="false" customHeight="true" outlineLevel="0" collapsed="false">
      <c r="A2" s="3" t="s">
        <v>158</v>
      </c>
    </row>
    <row r="3" customFormat="false" ht="15" hidden="false" customHeight="true" outlineLevel="0" collapsed="false">
      <c r="A3" s="27" t="s">
        <v>159</v>
      </c>
    </row>
    <row r="5" customFormat="false" ht="15" hidden="false" customHeight="true" outlineLevel="0" collapsed="false">
      <c r="A5" s="16" t="s">
        <v>160</v>
      </c>
      <c r="B5" s="16" t="s">
        <v>161</v>
      </c>
      <c r="C5" s="16" t="s">
        <v>162</v>
      </c>
    </row>
    <row r="6" customFormat="false" ht="15" hidden="false" customHeight="true" outlineLevel="0" collapsed="false">
      <c r="A6" s="28"/>
      <c r="B6" s="29" t="s">
        <v>163</v>
      </c>
      <c r="C6" s="30"/>
    </row>
    <row r="7" customFormat="false" ht="23.25" hidden="false" customHeight="true" outlineLevel="0" collapsed="false">
      <c r="A7" s="31" t="s">
        <v>131</v>
      </c>
      <c r="B7" s="32" t="s">
        <v>164</v>
      </c>
      <c r="C7" s="33" t="s">
        <v>165</v>
      </c>
    </row>
    <row r="8" customFormat="false" ht="15" hidden="false" customHeight="true" outlineLevel="0" collapsed="false">
      <c r="A8" s="31" t="s">
        <v>132</v>
      </c>
      <c r="B8" s="32" t="s">
        <v>166</v>
      </c>
      <c r="C8" s="33" t="s">
        <v>167</v>
      </c>
    </row>
    <row r="9" customFormat="false" ht="15" hidden="false" customHeight="true" outlineLevel="0" collapsed="false">
      <c r="A9" s="31" t="s">
        <v>133</v>
      </c>
      <c r="B9" s="32" t="s">
        <v>168</v>
      </c>
      <c r="C9" s="33" t="s">
        <v>169</v>
      </c>
    </row>
    <row r="10" customFormat="false" ht="15" hidden="false" customHeight="true" outlineLevel="0" collapsed="false">
      <c r="A10" s="31" t="s">
        <v>134</v>
      </c>
      <c r="B10" s="32" t="s">
        <v>170</v>
      </c>
      <c r="C10" s="33" t="s">
        <v>171</v>
      </c>
    </row>
    <row r="11" customFormat="false" ht="15" hidden="false" customHeight="true" outlineLevel="0" collapsed="false">
      <c r="A11" s="31" t="s">
        <v>135</v>
      </c>
      <c r="B11" s="32" t="s">
        <v>172</v>
      </c>
      <c r="C11" s="33" t="s">
        <v>173</v>
      </c>
    </row>
    <row r="12" customFormat="false" ht="15" hidden="false" customHeight="true" outlineLevel="0" collapsed="false">
      <c r="A12" s="31" t="s">
        <v>136</v>
      </c>
      <c r="B12" s="32" t="s">
        <v>174</v>
      </c>
      <c r="C12" s="33" t="s">
        <v>173</v>
      </c>
    </row>
    <row r="13" customFormat="false" ht="15" hidden="false" customHeight="true" outlineLevel="0" collapsed="false">
      <c r="A13" s="31"/>
      <c r="B13" s="34"/>
      <c r="C13" s="33"/>
    </row>
    <row r="14" customFormat="false" ht="15" hidden="false" customHeight="true" outlineLevel="0" collapsed="false">
      <c r="A14" s="28"/>
      <c r="B14" s="29" t="s">
        <v>175</v>
      </c>
      <c r="C14" s="30"/>
    </row>
    <row r="15" customFormat="false" ht="15" hidden="false" customHeight="true" outlineLevel="0" collapsed="false">
      <c r="A15" s="31" t="s">
        <v>138</v>
      </c>
      <c r="B15" s="32" t="s">
        <v>176</v>
      </c>
      <c r="C15" s="33" t="s">
        <v>177</v>
      </c>
    </row>
    <row r="16" customFormat="false" ht="15" hidden="false" customHeight="true" outlineLevel="0" collapsed="false">
      <c r="A16" s="31" t="s">
        <v>139</v>
      </c>
      <c r="B16" s="32" t="s">
        <v>178</v>
      </c>
      <c r="C16" s="33" t="s">
        <v>179</v>
      </c>
    </row>
    <row r="17" customFormat="false" ht="15" hidden="false" customHeight="true" outlineLevel="0" collapsed="false">
      <c r="A17" s="31" t="s">
        <v>140</v>
      </c>
      <c r="B17" s="32" t="s">
        <v>180</v>
      </c>
      <c r="C17" s="33" t="s">
        <v>181</v>
      </c>
    </row>
    <row r="18" customFormat="false" ht="15" hidden="false" customHeight="true" outlineLevel="0" collapsed="false">
      <c r="A18" s="31" t="s">
        <v>141</v>
      </c>
      <c r="B18" s="32" t="s">
        <v>182</v>
      </c>
      <c r="C18" s="33"/>
    </row>
    <row r="19" customFormat="false" ht="15" hidden="false" customHeight="true" outlineLevel="0" collapsed="false">
      <c r="A19" s="31" t="s">
        <v>142</v>
      </c>
      <c r="B19" s="32" t="s">
        <v>183</v>
      </c>
      <c r="C19" s="33"/>
    </row>
    <row r="20" customFormat="false" ht="15" hidden="false" customHeight="true" outlineLevel="0" collapsed="false">
      <c r="A20" s="31"/>
      <c r="B20" s="34"/>
      <c r="C20" s="33"/>
    </row>
    <row r="21" customFormat="false" ht="15" hidden="false" customHeight="true" outlineLevel="0" collapsed="false">
      <c r="A21" s="28"/>
      <c r="B21" s="29" t="s">
        <v>184</v>
      </c>
      <c r="C21" s="30"/>
    </row>
    <row r="22" customFormat="false" ht="15" hidden="false" customHeight="true" outlineLevel="0" collapsed="false">
      <c r="A22" s="31" t="s">
        <v>185</v>
      </c>
      <c r="B22" s="32" t="s">
        <v>186</v>
      </c>
      <c r="C22" s="33" t="s">
        <v>187</v>
      </c>
    </row>
    <row r="23" customFormat="false" ht="15" hidden="false" customHeight="true" outlineLevel="0" collapsed="false">
      <c r="A23" s="31" t="s">
        <v>188</v>
      </c>
      <c r="B23" s="32" t="s">
        <v>189</v>
      </c>
      <c r="C23" s="33" t="s">
        <v>190</v>
      </c>
    </row>
    <row r="24" customFormat="false" ht="15" hidden="false" customHeight="true" outlineLevel="0" collapsed="false">
      <c r="A24" s="31" t="s">
        <v>191</v>
      </c>
      <c r="B24" s="32" t="s">
        <v>192</v>
      </c>
      <c r="C24" s="33"/>
    </row>
    <row r="25" customFormat="false" ht="15" hidden="false" customHeight="true" outlineLevel="0" collapsed="false">
      <c r="A25" s="31" t="s">
        <v>147</v>
      </c>
      <c r="B25" s="32" t="s">
        <v>193</v>
      </c>
      <c r="C25" s="33" t="s">
        <v>194</v>
      </c>
    </row>
    <row r="26" customFormat="false" ht="15" hidden="false" customHeight="true" outlineLevel="0" collapsed="false">
      <c r="A26" s="31" t="s">
        <v>148</v>
      </c>
      <c r="B26" s="32" t="s">
        <v>195</v>
      </c>
      <c r="C26" s="33" t="s">
        <v>196</v>
      </c>
    </row>
    <row r="27" customFormat="false" ht="15" hidden="false" customHeight="true" outlineLevel="0" collapsed="false">
      <c r="A27" s="31" t="s">
        <v>149</v>
      </c>
      <c r="B27" s="32" t="s">
        <v>197</v>
      </c>
      <c r="C27" s="33" t="s">
        <v>198</v>
      </c>
    </row>
    <row r="28" customFormat="false" ht="15" hidden="false" customHeight="true" outlineLevel="0" collapsed="false">
      <c r="A28" s="31" t="s">
        <v>150</v>
      </c>
      <c r="B28" s="32" t="s">
        <v>199</v>
      </c>
      <c r="C28" s="33" t="s">
        <v>200</v>
      </c>
    </row>
    <row r="29" customFormat="false" ht="15" hidden="false" customHeight="true" outlineLevel="0" collapsed="false">
      <c r="A29" s="31" t="s">
        <v>151</v>
      </c>
      <c r="B29" s="32" t="s">
        <v>201</v>
      </c>
      <c r="C29" s="33" t="s">
        <v>202</v>
      </c>
    </row>
    <row r="30" customFormat="false" ht="15" hidden="false" customHeight="true" outlineLevel="0" collapsed="false">
      <c r="A30" s="31" t="s">
        <v>152</v>
      </c>
      <c r="B30" s="32" t="s">
        <v>203</v>
      </c>
      <c r="C30" s="33"/>
    </row>
    <row r="31" customFormat="false" ht="15" hidden="false" customHeight="true" outlineLevel="0" collapsed="false">
      <c r="A31" s="31"/>
      <c r="B31" s="34"/>
      <c r="C31" s="33"/>
    </row>
    <row r="32" customFormat="false" ht="15" hidden="false" customHeight="true" outlineLevel="0" collapsed="false">
      <c r="A32" s="28"/>
      <c r="B32" s="29" t="s">
        <v>153</v>
      </c>
      <c r="C32" s="30"/>
    </row>
    <row r="33" customFormat="false" ht="15" hidden="false" customHeight="true" outlineLevel="0" collapsed="false">
      <c r="A33" s="31" t="s">
        <v>204</v>
      </c>
      <c r="B33" s="32" t="s">
        <v>205</v>
      </c>
      <c r="C33" s="33" t="s">
        <v>206</v>
      </c>
    </row>
    <row r="34" customFormat="false" ht="15" hidden="false" customHeight="true" outlineLevel="0" collapsed="false">
      <c r="A34" s="31" t="s">
        <v>155</v>
      </c>
      <c r="B34" s="32" t="s">
        <v>207</v>
      </c>
      <c r="C34" s="33" t="s">
        <v>208</v>
      </c>
    </row>
    <row r="35" customFormat="false" ht="15" hidden="false" customHeight="true" outlineLevel="0" collapsed="false">
      <c r="A35" s="31" t="s">
        <v>156</v>
      </c>
      <c r="B35" s="32" t="s">
        <v>209</v>
      </c>
      <c r="C35" s="33" t="s">
        <v>210</v>
      </c>
    </row>
    <row r="36" customFormat="false" ht="15" hidden="false" customHeight="true" outlineLevel="0" collapsed="false">
      <c r="A36" s="31"/>
      <c r="B36" s="34"/>
      <c r="C36" s="33"/>
    </row>
    <row r="37" customFormat="false" ht="15" hidden="false" customHeight="true" outlineLevel="0" collapsed="false">
      <c r="A37" s="28"/>
      <c r="B37" s="29" t="s">
        <v>211</v>
      </c>
      <c r="C37" s="30"/>
    </row>
    <row r="38" customFormat="false" ht="15" hidden="false" customHeight="true" outlineLevel="0" collapsed="false">
      <c r="A38" s="31" t="s">
        <v>212</v>
      </c>
      <c r="B38" s="32" t="s">
        <v>213</v>
      </c>
      <c r="C38" s="33" t="s">
        <v>214</v>
      </c>
    </row>
    <row r="39" customFormat="false" ht="15" hidden="false" customHeight="true" outlineLevel="0" collapsed="false">
      <c r="A39" s="31"/>
      <c r="B39" s="32" t="s">
        <v>215</v>
      </c>
      <c r="C39" s="33"/>
    </row>
    <row r="40" customFormat="false" ht="15" hidden="false" customHeight="true" outlineLevel="0" collapsed="false">
      <c r="A40" s="31"/>
      <c r="B40" s="32" t="s">
        <v>216</v>
      </c>
      <c r="C40" s="33"/>
    </row>
    <row r="41" customFormat="false" ht="15" hidden="false" customHeight="true" outlineLevel="0" collapsed="false">
      <c r="A41" s="31"/>
      <c r="B41" s="32" t="s">
        <v>217</v>
      </c>
      <c r="C41" s="33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4" min="2" style="1" width="20"/>
    <col collapsed="false" customWidth="true" hidden="false" outlineLevel="0" max="5" min="5" style="1" width="30"/>
  </cols>
  <sheetData>
    <row r="1" customFormat="false" ht="17.25" hidden="false" customHeight="true" outlineLevel="0" collapsed="false">
      <c r="A1" s="2" t="s">
        <v>219</v>
      </c>
    </row>
    <row r="3" customFormat="false" ht="15" hidden="false" customHeight="true" outlineLevel="0" collapsed="false">
      <c r="A3" s="16" t="s">
        <v>220</v>
      </c>
      <c r="B3" s="16" t="s">
        <v>221</v>
      </c>
      <c r="C3" s="16" t="s">
        <v>222</v>
      </c>
      <c r="D3" s="16" t="s">
        <v>223</v>
      </c>
      <c r="E3" s="16" t="s">
        <v>162</v>
      </c>
    </row>
    <row r="4" customFormat="false" ht="15" hidden="false" customHeight="true" outlineLevel="0" collapsed="false">
      <c r="A4" s="35" t="s">
        <v>224</v>
      </c>
      <c r="B4" s="36" t="s">
        <v>225</v>
      </c>
      <c r="C4" s="36" t="s">
        <v>226</v>
      </c>
      <c r="D4" s="36" t="s">
        <v>227</v>
      </c>
      <c r="E4" s="37"/>
    </row>
    <row r="5" customFormat="false" ht="15" hidden="false" customHeight="true" outlineLevel="0" collapsed="false">
      <c r="A5" s="31" t="s">
        <v>228</v>
      </c>
      <c r="B5" s="38" t="s">
        <v>229</v>
      </c>
      <c r="C5" s="38" t="s">
        <v>230</v>
      </c>
      <c r="D5" s="38" t="s">
        <v>229</v>
      </c>
      <c r="E5" s="34" t="s">
        <v>231</v>
      </c>
    </row>
    <row r="6" customFormat="false" ht="15" hidden="false" customHeight="true" outlineLevel="0" collapsed="false">
      <c r="A6" s="35" t="s">
        <v>232</v>
      </c>
      <c r="B6" s="36" t="s">
        <v>233</v>
      </c>
      <c r="C6" s="36" t="s">
        <v>234</v>
      </c>
      <c r="D6" s="36" t="s">
        <v>233</v>
      </c>
      <c r="E6" s="37"/>
    </row>
    <row r="7" customFormat="false" ht="15" hidden="false" customHeight="true" outlineLevel="0" collapsed="false">
      <c r="A7" s="31" t="s">
        <v>235</v>
      </c>
      <c r="B7" s="38" t="s">
        <v>236</v>
      </c>
      <c r="C7" s="38" t="s">
        <v>236</v>
      </c>
      <c r="D7" s="38" t="s">
        <v>236</v>
      </c>
      <c r="E7" s="34"/>
    </row>
    <row r="8" customFormat="false" ht="15" hidden="false" customHeight="true" outlineLevel="0" collapsed="false">
      <c r="A8" s="35" t="s">
        <v>237</v>
      </c>
      <c r="B8" s="36" t="s">
        <v>238</v>
      </c>
      <c r="C8" s="36" t="s">
        <v>239</v>
      </c>
      <c r="D8" s="36" t="s">
        <v>238</v>
      </c>
      <c r="E8" s="37"/>
    </row>
    <row r="9" customFormat="false" ht="15" hidden="false" customHeight="true" outlineLevel="0" collapsed="false">
      <c r="A9" s="31" t="s">
        <v>240</v>
      </c>
      <c r="B9" s="38" t="s">
        <v>241</v>
      </c>
      <c r="C9" s="38" t="s">
        <v>242</v>
      </c>
      <c r="D9" s="38" t="s">
        <v>243</v>
      </c>
      <c r="E9" s="34"/>
    </row>
    <row r="10" customFormat="false" ht="15" hidden="false" customHeight="true" outlineLevel="0" collapsed="false">
      <c r="A10" s="35" t="s">
        <v>244</v>
      </c>
      <c r="B10" s="36" t="s">
        <v>245</v>
      </c>
      <c r="C10" s="36" t="s">
        <v>246</v>
      </c>
      <c r="D10" s="36" t="s">
        <v>247</v>
      </c>
      <c r="E10" s="37"/>
    </row>
    <row r="11" customFormat="false" ht="15" hidden="false" customHeight="true" outlineLevel="0" collapsed="false">
      <c r="A11" s="31"/>
      <c r="B11" s="38"/>
      <c r="C11" s="38"/>
      <c r="D11" s="38"/>
      <c r="E11" s="34"/>
    </row>
    <row r="12" customFormat="false" ht="15" hidden="false" customHeight="true" outlineLevel="0" collapsed="false">
      <c r="A12" s="35" t="s">
        <v>248</v>
      </c>
      <c r="B12" s="36" t="s">
        <v>249</v>
      </c>
      <c r="C12" s="36" t="s">
        <v>249</v>
      </c>
      <c r="D12" s="36" t="s">
        <v>250</v>
      </c>
      <c r="E12" s="37" t="s">
        <v>251</v>
      </c>
    </row>
    <row r="13" customFormat="false" ht="15" hidden="false" customHeight="true" outlineLevel="0" collapsed="false">
      <c r="A13" s="31" t="s">
        <v>252</v>
      </c>
      <c r="B13" s="38" t="s">
        <v>253</v>
      </c>
      <c r="C13" s="38" t="s">
        <v>254</v>
      </c>
      <c r="D13" s="38" t="s">
        <v>255</v>
      </c>
      <c r="E13" s="34" t="s">
        <v>256</v>
      </c>
    </row>
    <row r="14" customFormat="false" ht="15" hidden="false" customHeight="true" outlineLevel="0" collapsed="false">
      <c r="A14" s="35" t="s">
        <v>257</v>
      </c>
      <c r="B14" s="36" t="s">
        <v>258</v>
      </c>
      <c r="C14" s="36" t="s">
        <v>259</v>
      </c>
      <c r="D14" s="36" t="s">
        <v>260</v>
      </c>
      <c r="E14" s="37"/>
    </row>
    <row r="15" customFormat="false" ht="15" hidden="false" customHeight="true" outlineLevel="0" collapsed="false">
      <c r="A15" s="31" t="s">
        <v>261</v>
      </c>
      <c r="B15" s="38" t="s">
        <v>262</v>
      </c>
      <c r="C15" s="38" t="s">
        <v>263</v>
      </c>
      <c r="D15" s="38" t="s">
        <v>264</v>
      </c>
      <c r="E15" s="34"/>
    </row>
    <row r="16" customFormat="false" ht="15" hidden="false" customHeight="true" outlineLevel="0" collapsed="false">
      <c r="A16" s="35" t="s">
        <v>265</v>
      </c>
      <c r="B16" s="36" t="s">
        <v>266</v>
      </c>
      <c r="C16" s="36" t="s">
        <v>267</v>
      </c>
      <c r="D16" s="36" t="s">
        <v>268</v>
      </c>
      <c r="E16" s="37"/>
    </row>
    <row r="17" customFormat="false" ht="15" hidden="false" customHeight="true" outlineLevel="0" collapsed="false">
      <c r="A17" s="31"/>
      <c r="B17" s="38"/>
      <c r="C17" s="38"/>
      <c r="D17" s="38"/>
      <c r="E17" s="34"/>
    </row>
    <row r="18" customFormat="false" ht="15" hidden="false" customHeight="true" outlineLevel="0" collapsed="false">
      <c r="A18" s="35" t="s">
        <v>269</v>
      </c>
      <c r="B18" s="36" t="s">
        <v>270</v>
      </c>
      <c r="C18" s="36" t="s">
        <v>271</v>
      </c>
      <c r="D18" s="36" t="s">
        <v>272</v>
      </c>
      <c r="E18" s="3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20"/>
    <col collapsed="false" customWidth="true" hidden="false" outlineLevel="0" max="5" min="5" style="1" width="34"/>
  </cols>
  <sheetData>
    <row r="1" customFormat="false" ht="17.25" hidden="false" customHeight="true" outlineLevel="0" collapsed="false">
      <c r="A1" s="2" t="s">
        <v>273</v>
      </c>
    </row>
    <row r="2" customFormat="false" ht="15" hidden="false" customHeight="true" outlineLevel="0" collapsed="false">
      <c r="A2" s="3" t="s">
        <v>274</v>
      </c>
    </row>
    <row r="4" customFormat="false" ht="15" hidden="false" customHeight="true" outlineLevel="0" collapsed="false">
      <c r="A4" s="16" t="s">
        <v>220</v>
      </c>
      <c r="B4" s="39" t="s">
        <v>275</v>
      </c>
      <c r="C4" s="16" t="s">
        <v>276</v>
      </c>
      <c r="D4" s="16" t="s">
        <v>277</v>
      </c>
      <c r="E4" s="16" t="s">
        <v>278</v>
      </c>
    </row>
    <row r="5" customFormat="false" ht="15" hidden="false" customHeight="true" outlineLevel="0" collapsed="false">
      <c r="A5" s="4"/>
      <c r="B5" s="4" t="s">
        <v>279</v>
      </c>
      <c r="C5" s="5"/>
      <c r="D5" s="5"/>
      <c r="E5" s="5"/>
    </row>
    <row r="6" customFormat="false" ht="15" hidden="false" customHeight="true" outlineLevel="0" collapsed="false">
      <c r="A6" s="40" t="s">
        <v>280</v>
      </c>
      <c r="B6" s="41" t="s">
        <v>281</v>
      </c>
      <c r="C6" s="42" t="s">
        <v>282</v>
      </c>
      <c r="D6" s="42" t="s">
        <v>283</v>
      </c>
      <c r="E6" s="42"/>
    </row>
    <row r="7" customFormat="false" ht="15" hidden="false" customHeight="true" outlineLevel="0" collapsed="false">
      <c r="A7" s="6" t="s">
        <v>284</v>
      </c>
      <c r="B7" s="43" t="s">
        <v>285</v>
      </c>
      <c r="C7" s="18" t="s">
        <v>286</v>
      </c>
      <c r="D7" s="18" t="s">
        <v>287</v>
      </c>
      <c r="E7" s="18"/>
    </row>
    <row r="8" customFormat="false" ht="15" hidden="false" customHeight="true" outlineLevel="0" collapsed="false">
      <c r="A8" s="40" t="s">
        <v>288</v>
      </c>
      <c r="B8" s="41" t="s">
        <v>289</v>
      </c>
      <c r="C8" s="42" t="s">
        <v>290</v>
      </c>
      <c r="D8" s="42" t="s">
        <v>291</v>
      </c>
      <c r="E8" s="42"/>
    </row>
    <row r="9" customFormat="false" ht="15" hidden="false" customHeight="true" outlineLevel="0" collapsed="false">
      <c r="A9" s="6" t="s">
        <v>292</v>
      </c>
      <c r="B9" s="43" t="s">
        <v>293</v>
      </c>
      <c r="C9" s="18" t="s">
        <v>294</v>
      </c>
      <c r="D9" s="18" t="s">
        <v>295</v>
      </c>
      <c r="E9" s="18"/>
    </row>
    <row r="11" customFormat="false" ht="15" hidden="false" customHeight="true" outlineLevel="0" collapsed="false">
      <c r="A11" s="6" t="s">
        <v>296</v>
      </c>
      <c r="B11" s="43" t="s">
        <v>297</v>
      </c>
      <c r="C11" s="18" t="s">
        <v>298</v>
      </c>
      <c r="D11" s="18" t="s">
        <v>299</v>
      </c>
      <c r="E11" s="18"/>
    </row>
    <row r="12" customFormat="false" ht="15" hidden="false" customHeight="true" outlineLevel="0" collapsed="false">
      <c r="A12" s="40" t="s">
        <v>300</v>
      </c>
      <c r="B12" s="41" t="s">
        <v>301</v>
      </c>
      <c r="C12" s="42" t="s">
        <v>302</v>
      </c>
      <c r="D12" s="42" t="s">
        <v>303</v>
      </c>
      <c r="E12" s="42" t="s">
        <v>304</v>
      </c>
    </row>
    <row r="13" customFormat="false" ht="15" hidden="false" customHeight="true" outlineLevel="0" collapsed="false">
      <c r="A13" s="6" t="s">
        <v>305</v>
      </c>
      <c r="B13" s="43" t="s">
        <v>306</v>
      </c>
      <c r="C13" s="18" t="s">
        <v>307</v>
      </c>
      <c r="D13" s="18" t="s">
        <v>302</v>
      </c>
      <c r="E13" s="18" t="s">
        <v>308</v>
      </c>
    </row>
    <row r="14" customFormat="false" ht="15" hidden="false" customHeight="true" outlineLevel="0" collapsed="false">
      <c r="A14" s="40" t="s">
        <v>309</v>
      </c>
      <c r="B14" s="41" t="s">
        <v>310</v>
      </c>
      <c r="C14" s="42" t="s">
        <v>290</v>
      </c>
      <c r="D14" s="42" t="s">
        <v>311</v>
      </c>
      <c r="E14" s="42" t="s">
        <v>312</v>
      </c>
    </row>
    <row r="16" customFormat="false" ht="15" hidden="false" customHeight="true" outlineLevel="0" collapsed="false">
      <c r="A16" s="4"/>
      <c r="B16" s="4" t="s">
        <v>313</v>
      </c>
      <c r="C16" s="5"/>
      <c r="D16" s="5"/>
      <c r="E16" s="5"/>
    </row>
    <row r="17" customFormat="false" ht="15" hidden="false" customHeight="true" outlineLevel="0" collapsed="false">
      <c r="A17" s="6" t="s">
        <v>314</v>
      </c>
      <c r="B17" s="43" t="s">
        <v>315</v>
      </c>
      <c r="C17" s="18" t="s">
        <v>316</v>
      </c>
      <c r="D17" s="18" t="s">
        <v>317</v>
      </c>
      <c r="E17" s="18" t="s">
        <v>318</v>
      </c>
    </row>
    <row r="18" customFormat="false" ht="15" hidden="false" customHeight="true" outlineLevel="0" collapsed="false">
      <c r="A18" s="40" t="s">
        <v>319</v>
      </c>
      <c r="B18" s="41" t="s">
        <v>320</v>
      </c>
      <c r="C18" s="42" t="s">
        <v>321</v>
      </c>
      <c r="D18" s="42" t="s">
        <v>322</v>
      </c>
      <c r="E18" s="42" t="s">
        <v>323</v>
      </c>
    </row>
    <row r="19" customFormat="false" ht="15" hidden="false" customHeight="true" outlineLevel="0" collapsed="false">
      <c r="A19" s="6" t="s">
        <v>324</v>
      </c>
      <c r="B19" s="43" t="s">
        <v>325</v>
      </c>
      <c r="C19" s="18" t="s">
        <v>325</v>
      </c>
      <c r="D19" s="18" t="s">
        <v>325</v>
      </c>
      <c r="E19" s="18" t="s">
        <v>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0" min="2" style="0" width="16"/>
  </cols>
  <sheetData>
    <row r="1" customFormat="false" ht="26.85" hidden="false" customHeight="false" outlineLevel="0" collapsed="false">
      <c r="B1" s="39" t="s">
        <v>327</v>
      </c>
      <c r="C1" s="39" t="s">
        <v>328</v>
      </c>
      <c r="D1" s="39" t="s">
        <v>329</v>
      </c>
      <c r="E1" s="39" t="s">
        <v>330</v>
      </c>
      <c r="F1" s="39" t="s">
        <v>331</v>
      </c>
      <c r="G1" s="39" t="s">
        <v>332</v>
      </c>
      <c r="H1" s="39" t="s">
        <v>333</v>
      </c>
      <c r="I1" s="39" t="s">
        <v>334</v>
      </c>
      <c r="J1" s="44" t="s">
        <v>129</v>
      </c>
    </row>
    <row r="2" customFormat="false" ht="15" hidden="false" customHeight="false" outlineLevel="0" collapsed="false">
      <c r="A2" s="45" t="s">
        <v>335</v>
      </c>
      <c r="B2" s="46"/>
      <c r="C2" s="46"/>
      <c r="D2" s="46"/>
      <c r="E2" s="46"/>
      <c r="F2" s="46"/>
      <c r="G2" s="46"/>
      <c r="H2" s="46"/>
      <c r="I2" s="46"/>
      <c r="J2" s="46"/>
    </row>
    <row r="3" customFormat="false" ht="15" hidden="false" customHeight="false" outlineLevel="0" collapsed="false">
      <c r="A3" s="47" t="s">
        <v>336</v>
      </c>
      <c r="B3" s="48" t="n">
        <f aca="false">'Monthly P&amp;L'!D5</f>
        <v>12</v>
      </c>
      <c r="C3" s="48" t="n">
        <f aca="false">'Monthly P&amp;L'!G5</f>
        <v>30</v>
      </c>
      <c r="D3" s="48" t="n">
        <f aca="false">'Monthly P&amp;L'!J5</f>
        <v>47</v>
      </c>
      <c r="E3" s="48" t="n">
        <f aca="false">'Monthly P&amp;L'!M5</f>
        <v>73</v>
      </c>
      <c r="F3" s="48" t="n">
        <f aca="false">'Monthly P&amp;L'!P5</f>
        <v>87</v>
      </c>
      <c r="G3" s="48" t="n">
        <f aca="false">'Monthly P&amp;L'!S5</f>
        <v>109</v>
      </c>
      <c r="H3" s="48" t="n">
        <f aca="false">'Monthly P&amp;L'!V5</f>
        <v>124</v>
      </c>
      <c r="I3" s="48" t="n">
        <f aca="false">'Monthly P&amp;L'!Y5</f>
        <v>145</v>
      </c>
      <c r="J3" s="49" t="n">
        <f aca="false">I3</f>
        <v>145</v>
      </c>
    </row>
    <row r="4" customFormat="false" ht="15" hidden="false" customHeight="false" outlineLevel="0" collapsed="false">
      <c r="A4" s="47" t="s">
        <v>337</v>
      </c>
      <c r="B4" s="48" t="n">
        <f aca="false">'Monthly P&amp;L'!D6</f>
        <v>0</v>
      </c>
      <c r="C4" s="48" t="n">
        <f aca="false">'Monthly P&amp;L'!G6</f>
        <v>0</v>
      </c>
      <c r="D4" s="48" t="n">
        <f aca="false">'Monthly P&amp;L'!J6</f>
        <v>5</v>
      </c>
      <c r="E4" s="48" t="n">
        <f aca="false">'Monthly P&amp;L'!M6</f>
        <v>8</v>
      </c>
      <c r="F4" s="48" t="n">
        <f aca="false">'Monthly P&amp;L'!P6</f>
        <v>12</v>
      </c>
      <c r="G4" s="48" t="n">
        <f aca="false">'Monthly P&amp;L'!S6</f>
        <v>18</v>
      </c>
      <c r="H4" s="48" t="n">
        <f aca="false">'Monthly P&amp;L'!V6</f>
        <v>24</v>
      </c>
      <c r="I4" s="48" t="n">
        <f aca="false">'Monthly P&amp;L'!Y6</f>
        <v>34</v>
      </c>
      <c r="J4" s="49" t="n">
        <f aca="false">I4</f>
        <v>34</v>
      </c>
    </row>
    <row r="5" customFormat="false" ht="15" hidden="false" customHeight="false" outlineLevel="0" collapsed="false">
      <c r="A5" s="47" t="s">
        <v>338</v>
      </c>
      <c r="B5" s="48" t="n">
        <f aca="false">'Monthly P&amp;L'!D5+'Monthly P&amp;L'!D6</f>
        <v>12</v>
      </c>
      <c r="C5" s="48" t="n">
        <f aca="false">'Monthly P&amp;L'!G5+'Monthly P&amp;L'!G6</f>
        <v>30</v>
      </c>
      <c r="D5" s="48" t="n">
        <f aca="false">'Monthly P&amp;L'!J5+'Monthly P&amp;L'!J6</f>
        <v>52</v>
      </c>
      <c r="E5" s="48" t="n">
        <f aca="false">'Monthly P&amp;L'!M5+'Monthly P&amp;L'!M6</f>
        <v>81</v>
      </c>
      <c r="F5" s="48" t="n">
        <f aca="false">'Monthly P&amp;L'!P5+'Monthly P&amp;L'!P6</f>
        <v>99</v>
      </c>
      <c r="G5" s="48" t="n">
        <f aca="false">'Monthly P&amp;L'!S5+'Monthly P&amp;L'!S6</f>
        <v>127</v>
      </c>
      <c r="H5" s="48" t="n">
        <f aca="false">'Monthly P&amp;L'!V5+'Monthly P&amp;L'!V6</f>
        <v>148</v>
      </c>
      <c r="I5" s="48" t="n">
        <f aca="false">'Monthly P&amp;L'!Y5+'Monthly P&amp;L'!Y6</f>
        <v>179</v>
      </c>
      <c r="J5" s="49" t="n">
        <f aca="false">I5</f>
        <v>179</v>
      </c>
    </row>
    <row r="7" customFormat="false" ht="15" hidden="false" customHeight="false" outlineLevel="0" collapsed="false">
      <c r="A7" s="47" t="s">
        <v>138</v>
      </c>
      <c r="B7" s="50" t="n">
        <f aca="false">SUM('Monthly P&amp;L'!B11:D11)</f>
        <v>274</v>
      </c>
      <c r="C7" s="50" t="n">
        <f aca="false">SUM('Monthly P&amp;L'!E11:G11)</f>
        <v>874</v>
      </c>
      <c r="D7" s="50" t="n">
        <f aca="false">SUM('Monthly P&amp;L'!H11:J11)</f>
        <v>1536</v>
      </c>
      <c r="E7" s="50" t="n">
        <f aca="false">SUM('Monthly P&amp;L'!K11:M11)</f>
        <v>2386</v>
      </c>
      <c r="F7" s="50" t="n">
        <f aca="false">SUM('Monthly P&amp;L'!N11:P11)</f>
        <v>3073</v>
      </c>
      <c r="G7" s="50" t="n">
        <f aca="false">SUM('Monthly P&amp;L'!Q11:S11)</f>
        <v>3796</v>
      </c>
      <c r="H7" s="50" t="n">
        <f aca="false">SUM('Monthly P&amp;L'!T11:V11)</f>
        <v>4434</v>
      </c>
      <c r="I7" s="50" t="n">
        <f aca="false">SUM('Monthly P&amp;L'!W11:Y11)</f>
        <v>5146</v>
      </c>
      <c r="J7" s="51" t="n">
        <f aca="false">SUM(B7:I7)</f>
        <v>21519</v>
      </c>
    </row>
    <row r="8" customFormat="false" ht="15" hidden="false" customHeight="false" outlineLevel="0" collapsed="false">
      <c r="A8" s="47" t="s">
        <v>139</v>
      </c>
      <c r="B8" s="50" t="n">
        <f aca="false">SUM('Monthly P&amp;L'!B12:D12)</f>
        <v>0</v>
      </c>
      <c r="C8" s="50" t="n">
        <f aca="false">SUM('Monthly P&amp;L'!E12:G12)</f>
        <v>0</v>
      </c>
      <c r="D8" s="50" t="n">
        <f aca="false">SUM('Monthly P&amp;L'!H12:J12)</f>
        <v>62</v>
      </c>
      <c r="E8" s="50" t="n">
        <f aca="false">SUM('Monthly P&amp;L'!K12:M12)</f>
        <v>262</v>
      </c>
      <c r="F8" s="50" t="n">
        <f aca="false">SUM('Monthly P&amp;L'!N12:P12)</f>
        <v>387</v>
      </c>
      <c r="G8" s="50" t="n">
        <f aca="false">SUM('Monthly P&amp;L'!Q12:S12)</f>
        <v>600</v>
      </c>
      <c r="H8" s="50" t="n">
        <f aca="false">SUM('Monthly P&amp;L'!T12:V12)</f>
        <v>825</v>
      </c>
      <c r="I8" s="50" t="n">
        <f aca="false">SUM('Monthly P&amp;L'!W12:Y12)</f>
        <v>1137</v>
      </c>
      <c r="J8" s="51" t="n">
        <f aca="false">SUM(B8:I8)</f>
        <v>3273</v>
      </c>
    </row>
    <row r="9" customFormat="false" ht="15" hidden="false" customHeight="false" outlineLevel="0" collapsed="false">
      <c r="A9" s="47" t="s">
        <v>140</v>
      </c>
      <c r="B9" s="50" t="n">
        <f aca="false">SUM('Monthly P&amp;L'!B13:D13)</f>
        <v>117</v>
      </c>
      <c r="C9" s="50" t="n">
        <f aca="false">SUM('Monthly P&amp;L'!E13:G13)</f>
        <v>507</v>
      </c>
      <c r="D9" s="50" t="n">
        <f aca="false">SUM('Monthly P&amp;L'!H13:J13)</f>
        <v>858</v>
      </c>
      <c r="E9" s="50" t="n">
        <f aca="false">SUM('Monthly P&amp;L'!K13:M13)</f>
        <v>1521</v>
      </c>
      <c r="F9" s="50" t="n">
        <f aca="false">SUM('Monthly P&amp;L'!N13:P13)</f>
        <v>2574</v>
      </c>
      <c r="G9" s="50" t="n">
        <f aca="false">SUM('Monthly P&amp;L'!Q13:S13)</f>
        <v>2925</v>
      </c>
      <c r="H9" s="50" t="n">
        <f aca="false">SUM('Monthly P&amp;L'!T13:V13)</f>
        <v>2925</v>
      </c>
      <c r="I9" s="50" t="n">
        <f aca="false">SUM('Monthly P&amp;L'!W13:Y13)</f>
        <v>2925</v>
      </c>
      <c r="J9" s="51" t="n">
        <f aca="false">SUM(B9:I9)</f>
        <v>14352</v>
      </c>
    </row>
    <row r="10" customFormat="false" ht="15" hidden="false" customHeight="false" outlineLevel="0" collapsed="false">
      <c r="A10" s="47" t="s">
        <v>141</v>
      </c>
      <c r="B10" s="50" t="n">
        <f aca="false">SUM('Monthly P&amp;L'!B14:D14)</f>
        <v>0</v>
      </c>
      <c r="C10" s="50" t="n">
        <f aca="false">SUM('Monthly P&amp;L'!E14:G14)</f>
        <v>0</v>
      </c>
      <c r="D10" s="50" t="n">
        <f aca="false">SUM('Monthly P&amp;L'!H14:J14)</f>
        <v>0</v>
      </c>
      <c r="E10" s="50" t="n">
        <f aca="false">SUM('Monthly P&amp;L'!K14:M14)</f>
        <v>900</v>
      </c>
      <c r="F10" s="50" t="n">
        <f aca="false">SUM('Monthly P&amp;L'!N14:P14)</f>
        <v>1800</v>
      </c>
      <c r="G10" s="50" t="n">
        <f aca="false">SUM('Monthly P&amp;L'!Q14:S14)</f>
        <v>2700</v>
      </c>
      <c r="H10" s="50" t="n">
        <f aca="false">SUM('Monthly P&amp;L'!T14:V14)</f>
        <v>3600</v>
      </c>
      <c r="I10" s="50" t="n">
        <f aca="false">SUM('Monthly P&amp;L'!W14:Y14)</f>
        <v>4500</v>
      </c>
      <c r="J10" s="51" t="n">
        <f aca="false">SUM(B10:I10)</f>
        <v>13500</v>
      </c>
    </row>
    <row r="11" customFormat="false" ht="15" hidden="false" customHeight="false" outlineLevel="0" collapsed="false">
      <c r="A11" s="52" t="s">
        <v>339</v>
      </c>
      <c r="B11" s="53" t="n">
        <f aca="false">SUM('Monthly P&amp;L'!B15:D15)</f>
        <v>391</v>
      </c>
      <c r="C11" s="53" t="n">
        <f aca="false">SUM('Monthly P&amp;L'!E15:G15)</f>
        <v>1381</v>
      </c>
      <c r="D11" s="53" t="n">
        <f aca="false">SUM('Monthly P&amp;L'!H15:J15)</f>
        <v>2456</v>
      </c>
      <c r="E11" s="53" t="n">
        <f aca="false">SUM('Monthly P&amp;L'!K15:M15)</f>
        <v>5069</v>
      </c>
      <c r="F11" s="53" t="n">
        <f aca="false">SUM('Monthly P&amp;L'!N15:P15)</f>
        <v>7834</v>
      </c>
      <c r="G11" s="53" t="n">
        <f aca="false">SUM('Monthly P&amp;L'!Q15:S15)</f>
        <v>10021</v>
      </c>
      <c r="H11" s="53" t="n">
        <f aca="false">SUM('Monthly P&amp;L'!T15:V15)</f>
        <v>11784</v>
      </c>
      <c r="I11" s="53" t="n">
        <f aca="false">SUM('Monthly P&amp;L'!W15:Y15)</f>
        <v>13708</v>
      </c>
      <c r="J11" s="51" t="n">
        <f aca="false">SUM(B11:I11)</f>
        <v>52644</v>
      </c>
    </row>
    <row r="13" customFormat="false" ht="15" hidden="false" customHeight="false" outlineLevel="0" collapsed="false">
      <c r="A13" s="47" t="s">
        <v>185</v>
      </c>
      <c r="B13" s="50" t="n">
        <f aca="false">SUM('Monthly P&amp;L'!B18:D18)</f>
        <v>28</v>
      </c>
      <c r="C13" s="50" t="n">
        <f aca="false">SUM('Monthly P&amp;L'!E18:G18)</f>
        <v>88</v>
      </c>
      <c r="D13" s="50" t="n">
        <f aca="false">SUM('Monthly P&amp;L'!H18:J18)</f>
        <v>160</v>
      </c>
      <c r="E13" s="50" t="n">
        <f aca="false">SUM('Monthly P&amp;L'!K18:M18)</f>
        <v>265</v>
      </c>
      <c r="F13" s="50" t="n">
        <f aca="false">SUM('Monthly P&amp;L'!N18:P18)</f>
        <v>347</v>
      </c>
      <c r="G13" s="50" t="n">
        <f aca="false">SUM('Monthly P&amp;L'!Q18:S18)</f>
        <v>440</v>
      </c>
      <c r="H13" s="50" t="n">
        <f aca="false">SUM('Monthly P&amp;L'!T18:V18)</f>
        <v>526</v>
      </c>
      <c r="I13" s="50" t="n">
        <f aca="false">SUM('Monthly P&amp;L'!W18:Y18)</f>
        <v>629</v>
      </c>
      <c r="J13" s="51" t="n">
        <f aca="false">SUM(B13:I13)</f>
        <v>2483</v>
      </c>
    </row>
    <row r="14" customFormat="false" ht="15" hidden="false" customHeight="false" outlineLevel="0" collapsed="false">
      <c r="A14" s="47" t="s">
        <v>188</v>
      </c>
      <c r="B14" s="50" t="n">
        <f aca="false">SUM('Monthly P&amp;L'!B19:D19)</f>
        <v>229</v>
      </c>
      <c r="C14" s="50" t="n">
        <f aca="false">SUM('Monthly P&amp;L'!E19:G19)</f>
        <v>239</v>
      </c>
      <c r="D14" s="50" t="n">
        <f aca="false">SUM('Monthly P&amp;L'!H19:J19)</f>
        <v>250</v>
      </c>
      <c r="E14" s="50" t="n">
        <f aca="false">SUM('Monthly P&amp;L'!K19:M19)</f>
        <v>267</v>
      </c>
      <c r="F14" s="50" t="n">
        <f aca="false">SUM('Monthly P&amp;L'!N19:P19)</f>
        <v>280</v>
      </c>
      <c r="G14" s="50" t="n">
        <f aca="false">SUM('Monthly P&amp;L'!Q19:S19)</f>
        <v>295</v>
      </c>
      <c r="H14" s="50" t="n">
        <f aca="false">SUM('Monthly P&amp;L'!T19:V19)</f>
        <v>310</v>
      </c>
      <c r="I14" s="50" t="n">
        <f aca="false">SUM('Monthly P&amp;L'!W19:Y19)</f>
        <v>325</v>
      </c>
      <c r="J14" s="51" t="n">
        <f aca="false">SUM(B14:I14)</f>
        <v>2195</v>
      </c>
    </row>
    <row r="15" customFormat="false" ht="15" hidden="false" customHeight="false" outlineLevel="0" collapsed="false">
      <c r="A15" s="47" t="s">
        <v>191</v>
      </c>
      <c r="B15" s="50" t="n">
        <f aca="false">SUM('Monthly P&amp;L'!B20:D20)</f>
        <v>2</v>
      </c>
      <c r="C15" s="50" t="n">
        <f aca="false">SUM('Monthly P&amp;L'!E20:G20)</f>
        <v>9</v>
      </c>
      <c r="D15" s="50" t="n">
        <f aca="false">SUM('Monthly P&amp;L'!H20:J20)</f>
        <v>15</v>
      </c>
      <c r="E15" s="50" t="n">
        <f aca="false">SUM('Monthly P&amp;L'!K20:M20)</f>
        <v>25</v>
      </c>
      <c r="F15" s="50" t="n">
        <f aca="false">SUM('Monthly P&amp;L'!N20:P20)</f>
        <v>33</v>
      </c>
      <c r="G15" s="50" t="n">
        <f aca="false">SUM('Monthly P&amp;L'!Q20:S20)</f>
        <v>42</v>
      </c>
      <c r="H15" s="50" t="n">
        <f aca="false">SUM('Monthly P&amp;L'!T20:V20)</f>
        <v>51</v>
      </c>
      <c r="I15" s="50" t="n">
        <f aca="false">SUM('Monthly P&amp;L'!W20:Y20)</f>
        <v>60</v>
      </c>
      <c r="J15" s="51" t="n">
        <f aca="false">SUM(B15:I15)</f>
        <v>237</v>
      </c>
    </row>
    <row r="16" customFormat="false" ht="15" hidden="false" customHeight="false" outlineLevel="0" collapsed="false">
      <c r="A16" s="47" t="s">
        <v>340</v>
      </c>
      <c r="B16" s="50" t="n">
        <f aca="false">SUM('Monthly P&amp;L'!B21:D21)</f>
        <v>180</v>
      </c>
      <c r="C16" s="50" t="n">
        <f aca="false">SUM('Monthly P&amp;L'!E21:G21)</f>
        <v>180</v>
      </c>
      <c r="D16" s="50" t="n">
        <f aca="false">SUM('Monthly P&amp;L'!H21:J21)</f>
        <v>180</v>
      </c>
      <c r="E16" s="50" t="n">
        <f aca="false">SUM('Monthly P&amp;L'!K21:M21)</f>
        <v>180</v>
      </c>
      <c r="F16" s="50" t="n">
        <f aca="false">SUM('Monthly P&amp;L'!N21:P21)</f>
        <v>180</v>
      </c>
      <c r="G16" s="50" t="n">
        <f aca="false">SUM('Monthly P&amp;L'!Q21:S21)</f>
        <v>180</v>
      </c>
      <c r="H16" s="50" t="n">
        <f aca="false">SUM('Monthly P&amp;L'!T21:V21)</f>
        <v>180</v>
      </c>
      <c r="I16" s="50" t="n">
        <f aca="false">SUM('Monthly P&amp;L'!W21:Y21)</f>
        <v>180</v>
      </c>
      <c r="J16" s="51" t="n">
        <f aca="false">SUM(B16:I16)</f>
        <v>1440</v>
      </c>
    </row>
    <row r="17" customFormat="false" ht="15" hidden="false" customHeight="false" outlineLevel="0" collapsed="false">
      <c r="A17" s="47" t="s">
        <v>148</v>
      </c>
      <c r="B17" s="50" t="n">
        <f aca="false">SUM('Monthly P&amp;L'!B22:D22)</f>
        <v>450</v>
      </c>
      <c r="C17" s="50" t="n">
        <f aca="false">SUM('Monthly P&amp;L'!E22:G22)</f>
        <v>450</v>
      </c>
      <c r="D17" s="50" t="n">
        <f aca="false">SUM('Monthly P&amp;L'!H22:J22)</f>
        <v>1200</v>
      </c>
      <c r="E17" s="50" t="n">
        <f aca="false">SUM('Monthly P&amp;L'!K22:M22)</f>
        <v>1200</v>
      </c>
      <c r="F17" s="50" t="n">
        <f aca="false">SUM('Monthly P&amp;L'!N22:P22)</f>
        <v>1800</v>
      </c>
      <c r="G17" s="50" t="n">
        <f aca="false">SUM('Monthly P&amp;L'!Q22:S22)</f>
        <v>1800</v>
      </c>
      <c r="H17" s="50" t="n">
        <f aca="false">SUM('Monthly P&amp;L'!T22:V22)</f>
        <v>1800</v>
      </c>
      <c r="I17" s="50" t="n">
        <f aca="false">SUM('Monthly P&amp;L'!W22:Y22)</f>
        <v>1800</v>
      </c>
      <c r="J17" s="51" t="n">
        <f aca="false">SUM(B17:I17)</f>
        <v>10500</v>
      </c>
    </row>
    <row r="18" customFormat="false" ht="15" hidden="false" customHeight="false" outlineLevel="0" collapsed="false">
      <c r="A18" s="47" t="s">
        <v>149</v>
      </c>
      <c r="B18" s="50" t="n">
        <f aca="false">SUM('Monthly P&amp;L'!B23:D23)</f>
        <v>0</v>
      </c>
      <c r="C18" s="50" t="n">
        <f aca="false">SUM('Monthly P&amp;L'!E23:G23)</f>
        <v>0</v>
      </c>
      <c r="D18" s="50" t="n">
        <f aca="false">SUM('Monthly P&amp;L'!H23:J23)</f>
        <v>7500</v>
      </c>
      <c r="E18" s="50" t="n">
        <f aca="false">SUM('Monthly P&amp;L'!K23:M23)</f>
        <v>7500</v>
      </c>
      <c r="F18" s="50" t="n">
        <f aca="false">SUM('Monthly P&amp;L'!N23:P23)</f>
        <v>7500</v>
      </c>
      <c r="G18" s="50" t="n">
        <f aca="false">SUM('Monthly P&amp;L'!Q23:S23)</f>
        <v>7500</v>
      </c>
      <c r="H18" s="50" t="n">
        <f aca="false">SUM('Monthly P&amp;L'!T23:V23)</f>
        <v>7500</v>
      </c>
      <c r="I18" s="50" t="n">
        <f aca="false">SUM('Monthly P&amp;L'!W23:Y23)</f>
        <v>7500</v>
      </c>
      <c r="J18" s="51" t="n">
        <f aca="false">SUM(B18:I18)</f>
        <v>45000</v>
      </c>
    </row>
    <row r="19" customFormat="false" ht="15" hidden="false" customHeight="false" outlineLevel="0" collapsed="false">
      <c r="A19" s="47" t="s">
        <v>150</v>
      </c>
      <c r="B19" s="50" t="n">
        <f aca="false">SUM('Monthly P&amp;L'!B24:D24)</f>
        <v>750</v>
      </c>
      <c r="C19" s="50" t="n">
        <f aca="false">SUM('Monthly P&amp;L'!E24:G24)</f>
        <v>750</v>
      </c>
      <c r="D19" s="50" t="n">
        <f aca="false">SUM('Monthly P&amp;L'!H24:J24)</f>
        <v>750</v>
      </c>
      <c r="E19" s="50" t="n">
        <f aca="false">SUM('Monthly P&amp;L'!K24:M24)</f>
        <v>750</v>
      </c>
      <c r="F19" s="50" t="n">
        <f aca="false">SUM('Monthly P&amp;L'!N24:P24)</f>
        <v>750</v>
      </c>
      <c r="G19" s="50" t="n">
        <f aca="false">SUM('Monthly P&amp;L'!Q24:S24)</f>
        <v>750</v>
      </c>
      <c r="H19" s="50" t="n">
        <f aca="false">SUM('Monthly P&amp;L'!T24:V24)</f>
        <v>750</v>
      </c>
      <c r="I19" s="50" t="n">
        <f aca="false">SUM('Monthly P&amp;L'!W24:Y24)</f>
        <v>750</v>
      </c>
      <c r="J19" s="51" t="n">
        <f aca="false">SUM(B19:I19)</f>
        <v>6000</v>
      </c>
    </row>
    <row r="20" customFormat="false" ht="15" hidden="false" customHeight="false" outlineLevel="0" collapsed="false">
      <c r="A20" s="47" t="s">
        <v>151</v>
      </c>
      <c r="B20" s="50" t="n">
        <f aca="false">SUM('Monthly P&amp;L'!B25:D25)</f>
        <v>6000</v>
      </c>
      <c r="C20" s="50" t="n">
        <f aca="false">SUM('Monthly P&amp;L'!E25:G25)</f>
        <v>6000</v>
      </c>
      <c r="D20" s="50" t="n">
        <f aca="false">SUM('Monthly P&amp;L'!H25:J25)</f>
        <v>9000</v>
      </c>
      <c r="E20" s="50" t="n">
        <f aca="false">SUM('Monthly P&amp;L'!K25:M25)</f>
        <v>9000</v>
      </c>
      <c r="F20" s="50" t="n">
        <f aca="false">SUM('Monthly P&amp;L'!N25:P25)</f>
        <v>12000</v>
      </c>
      <c r="G20" s="50" t="n">
        <f aca="false">SUM('Monthly P&amp;L'!Q25:S25)</f>
        <v>12000</v>
      </c>
      <c r="H20" s="50" t="n">
        <f aca="false">SUM('Monthly P&amp;L'!T25:V25)</f>
        <v>12000</v>
      </c>
      <c r="I20" s="50" t="n">
        <f aca="false">SUM('Monthly P&amp;L'!W25:Y25)</f>
        <v>12000</v>
      </c>
      <c r="J20" s="51" t="n">
        <f aca="false">SUM(B20:I20)</f>
        <v>78000</v>
      </c>
    </row>
    <row r="21" customFormat="false" ht="15" hidden="false" customHeight="false" outlineLevel="0" collapsed="false">
      <c r="A21" s="52" t="s">
        <v>341</v>
      </c>
      <c r="B21" s="53" t="n">
        <f aca="false">SUM('Monthly P&amp;L'!B26:D26)</f>
        <v>7639</v>
      </c>
      <c r="C21" s="53" t="n">
        <f aca="false">SUM('Monthly P&amp;L'!E26:G26)</f>
        <v>7716</v>
      </c>
      <c r="D21" s="53" t="n">
        <f aca="false">SUM('Monthly P&amp;L'!H26:J26)</f>
        <v>19055</v>
      </c>
      <c r="E21" s="53" t="n">
        <f aca="false">SUM('Monthly P&amp;L'!K26:M26)</f>
        <v>19187</v>
      </c>
      <c r="F21" s="53" t="n">
        <f aca="false">SUM('Monthly P&amp;L'!N26:P26)</f>
        <v>22890</v>
      </c>
      <c r="G21" s="53" t="n">
        <f aca="false">SUM('Monthly P&amp;L'!Q26:S26)</f>
        <v>23007</v>
      </c>
      <c r="H21" s="53" t="n">
        <f aca="false">SUM('Monthly P&amp;L'!T26:V26)</f>
        <v>23117</v>
      </c>
      <c r="I21" s="53" t="n">
        <f aca="false">SUM('Monthly P&amp;L'!W26:Y26)</f>
        <v>23244</v>
      </c>
      <c r="J21" s="51" t="n">
        <f aca="false">SUM(B21:I21)</f>
        <v>145855</v>
      </c>
    </row>
    <row r="23" customFormat="false" ht="15" hidden="false" customHeight="false" outlineLevel="0" collapsed="false">
      <c r="A23" s="52" t="s">
        <v>342</v>
      </c>
      <c r="B23" s="53" t="n">
        <f aca="false">SUM('Monthly P&amp;L'!B29:D29)</f>
        <v>-7248</v>
      </c>
      <c r="C23" s="53" t="n">
        <f aca="false">SUM('Monthly P&amp;L'!E29:G29)</f>
        <v>-6335</v>
      </c>
      <c r="D23" s="53" t="n">
        <f aca="false">SUM('Monthly P&amp;L'!H29:J29)</f>
        <v>-16599</v>
      </c>
      <c r="E23" s="53" t="n">
        <f aca="false">SUM('Monthly P&amp;L'!K29:M29)</f>
        <v>-14118</v>
      </c>
      <c r="F23" s="53" t="n">
        <f aca="false">SUM('Monthly P&amp;L'!N29:P29)</f>
        <v>-15056</v>
      </c>
      <c r="G23" s="53" t="n">
        <f aca="false">SUM('Monthly P&amp;L'!Q29:S29)</f>
        <v>-12986</v>
      </c>
      <c r="H23" s="53" t="n">
        <f aca="false">SUM('Monthly P&amp;L'!T29:V29)</f>
        <v>-11333</v>
      </c>
      <c r="I23" s="53" t="n">
        <f aca="false">SUM('Monthly P&amp;L'!W29:Y29)</f>
        <v>-9536</v>
      </c>
      <c r="J23" s="51" t="n">
        <f aca="false">SUM(B23:I23)</f>
        <v>-93211</v>
      </c>
    </row>
    <row r="24" customFormat="false" ht="15" hidden="false" customHeight="false" outlineLevel="0" collapsed="false">
      <c r="A24" s="54" t="s">
        <v>343</v>
      </c>
      <c r="B24" s="50" t="n">
        <f aca="false">'Monthly P&amp;L'!D31</f>
        <v>-7248</v>
      </c>
      <c r="C24" s="50" t="n">
        <f aca="false">'Monthly P&amp;L'!G31</f>
        <v>-13583</v>
      </c>
      <c r="D24" s="50" t="n">
        <f aca="false">'Monthly P&amp;L'!J31</f>
        <v>-30182</v>
      </c>
      <c r="E24" s="50" t="n">
        <f aca="false">'Monthly P&amp;L'!M31</f>
        <v>-44300</v>
      </c>
      <c r="F24" s="50" t="n">
        <f aca="false">'Monthly P&amp;L'!P31</f>
        <v>-59356</v>
      </c>
      <c r="G24" s="50" t="n">
        <f aca="false">'Monthly P&amp;L'!S31</f>
        <v>-72342</v>
      </c>
      <c r="H24" s="50" t="n">
        <f aca="false">'Monthly P&amp;L'!V31</f>
        <v>-83675</v>
      </c>
      <c r="I24" s="50" t="n">
        <f aca="false">'Monthly P&amp;L'!Y31</f>
        <v>-93211</v>
      </c>
      <c r="J24" s="51" t="n">
        <f aca="false">I24</f>
        <v>-93211</v>
      </c>
    </row>
    <row r="25" customFormat="false" ht="15" hidden="false" customHeight="false" outlineLevel="0" collapsed="false">
      <c r="A25" s="54" t="s">
        <v>344</v>
      </c>
      <c r="B25" s="25" t="n">
        <f aca="false">AVERAGE('Monthly P&amp;L'!B30:D30)</f>
        <v>-0.166327505343391</v>
      </c>
      <c r="C25" s="25" t="n">
        <f aca="false">AVERAGE('Monthly P&amp;L'!E30:G30)</f>
        <v>0.752310778049255</v>
      </c>
      <c r="D25" s="25" t="n">
        <f aca="false">AVERAGE('Monthly P&amp;L'!H30:J30)</f>
        <v>0.824396416920589</v>
      </c>
      <c r="E25" s="25" t="n">
        <f aca="false">AVERAGE('Monthly P&amp;L'!K30:M30)</f>
        <v>0.888860166161687</v>
      </c>
      <c r="F25" s="25" t="n">
        <f aca="false">AVERAGE('Monthly P&amp;L'!N30:P30)</f>
        <v>0.915318576983524</v>
      </c>
      <c r="G25" s="25" t="n">
        <f aca="false">AVERAGE('Monthly P&amp;L'!Q30:S30)</f>
        <v>0.922430698670587</v>
      </c>
      <c r="H25" s="25" t="n">
        <f aca="false">AVERAGE('Monthly P&amp;L'!T30:V30)</f>
        <v>0.924706569304829</v>
      </c>
      <c r="I25" s="25" t="n">
        <f aca="false">AVERAGE('Monthly P&amp;L'!W30:Y30)</f>
        <v>0.926028079756263</v>
      </c>
      <c r="J25" s="55" t="n">
        <f aca="false">AVERAGE(B25:I25)</f>
        <v>0.748465472562918</v>
      </c>
    </row>
    <row r="27" customFormat="false" ht="15" hidden="false" customHeight="false" outlineLevel="0" collapsed="false">
      <c r="A27" s="45" t="s">
        <v>345</v>
      </c>
      <c r="B27" s="46"/>
      <c r="C27" s="46"/>
      <c r="D27" s="46"/>
      <c r="E27" s="46"/>
      <c r="F27" s="46"/>
      <c r="G27" s="46"/>
      <c r="H27" s="46"/>
      <c r="I27" s="46"/>
      <c r="J27" s="46"/>
    </row>
    <row r="28" customFormat="false" ht="15" hidden="false" customHeight="false" outlineLevel="0" collapsed="false">
      <c r="A28" s="54" t="s">
        <v>346</v>
      </c>
      <c r="B28" s="56" t="n">
        <f aca="false">MAX(0,-B24)</f>
        <v>7248</v>
      </c>
      <c r="C28" s="56" t="n">
        <f aca="false">MAX(0,-C24)</f>
        <v>13583</v>
      </c>
      <c r="D28" s="56" t="n">
        <f aca="false">MAX(0,-D24)</f>
        <v>30182</v>
      </c>
      <c r="E28" s="56" t="n">
        <f aca="false">MAX(0,-E24)</f>
        <v>44300</v>
      </c>
      <c r="F28" s="56" t="n">
        <f aca="false">MAX(0,-F24)</f>
        <v>59356</v>
      </c>
      <c r="G28" s="56" t="n">
        <f aca="false">MAX(0,-G24)</f>
        <v>72342</v>
      </c>
      <c r="H28" s="56" t="n">
        <f aca="false">MAX(0,-H24)</f>
        <v>83675</v>
      </c>
      <c r="I28" s="56" t="n">
        <f aca="false">MAX(0,-I24)</f>
        <v>93211</v>
      </c>
      <c r="J28" s="57" t="n">
        <f aca="false">MAX(B28:I28)</f>
        <v>93211</v>
      </c>
    </row>
    <row r="29" customFormat="false" ht="15" hidden="false" customHeight="false" outlineLevel="0" collapsed="false">
      <c r="A29" s="54" t="s">
        <v>347</v>
      </c>
      <c r="B29" s="58" t="str">
        <f aca="false">IF(B23&gt;0,"YES","NO")</f>
        <v>NO</v>
      </c>
      <c r="C29" s="58" t="str">
        <f aca="false">IF(C23&gt;0,"YES","NO")</f>
        <v>NO</v>
      </c>
      <c r="D29" s="58" t="str">
        <f aca="false">IF(D23&gt;0,"YES","NO")</f>
        <v>NO</v>
      </c>
      <c r="E29" s="58" t="str">
        <f aca="false">IF(E23&gt;0,"YES","NO")</f>
        <v>NO</v>
      </c>
      <c r="F29" s="58" t="str">
        <f aca="false">IF(F23&gt;0,"YES","NO")</f>
        <v>NO</v>
      </c>
      <c r="G29" s="58" t="str">
        <f aca="false">IF(G23&gt;0,"YES","NO")</f>
        <v>NO</v>
      </c>
      <c r="H29" s="58" t="str">
        <f aca="false">IF(H23&gt;0,"YES","NO")</f>
        <v>NO</v>
      </c>
      <c r="I29" s="58" t="str">
        <f aca="false">IF(I23&gt;0,"YES","NO")</f>
        <v>NO</v>
      </c>
    </row>
    <row r="31" customFormat="false" ht="15" hidden="false" customHeight="false" outlineLevel="0" collapsed="false">
      <c r="A31" s="45" t="s">
        <v>348</v>
      </c>
      <c r="B31" s="46"/>
      <c r="C31" s="46"/>
      <c r="D31" s="46"/>
      <c r="E31" s="46"/>
      <c r="F31" s="46"/>
      <c r="G31" s="46"/>
      <c r="H31" s="46"/>
      <c r="I31" s="46"/>
      <c r="J31" s="46"/>
    </row>
    <row r="32" customFormat="false" ht="15" hidden="false" customHeight="false" outlineLevel="0" collapsed="false">
      <c r="A32" s="47" t="s">
        <v>349</v>
      </c>
      <c r="B32" s="25" t="n">
        <f aca="false">IF(B11=0,0,SUM('Monthly P&amp;L'!B11:D11)/B11)</f>
        <v>0.70076726342711</v>
      </c>
      <c r="C32" s="25" t="n">
        <f aca="false">IF(C11=0,0,SUM('Monthly P&amp;L'!E11:G11)/C11)</f>
        <v>0.632874728457639</v>
      </c>
      <c r="D32" s="25" t="n">
        <f aca="false">IF(D11=0,0,SUM('Monthly P&amp;L'!H11:J11)/D11)</f>
        <v>0.625407166123778</v>
      </c>
      <c r="E32" s="25" t="n">
        <f aca="false">IF(E11=0,0,SUM('Monthly P&amp;L'!K11:M11)/E11)</f>
        <v>0.470704280923259</v>
      </c>
      <c r="F32" s="25" t="n">
        <f aca="false">IF(F11=0,0,SUM('Monthly P&amp;L'!N11:P11)/F11)</f>
        <v>0.39226448812867</v>
      </c>
      <c r="G32" s="25" t="n">
        <f aca="false">IF(G11=0,0,SUM('Monthly P&amp;L'!Q11:S11)/G11)</f>
        <v>0.378804510527891</v>
      </c>
      <c r="H32" s="25" t="n">
        <f aca="false">IF(H11=0,0,SUM('Monthly P&amp;L'!T11:V11)/H11)</f>
        <v>0.376272912423625</v>
      </c>
      <c r="I32" s="25" t="n">
        <f aca="false">IF(I11=0,0,SUM('Monthly P&amp;L'!W11:Y11)/I11)</f>
        <v>0.375401225561716</v>
      </c>
      <c r="J32" s="55" t="n">
        <f aca="false">IF(J11=0,0,SUM('Monthly P&amp;L'!B11:Y11)/J11)</f>
        <v>0.408764531570549</v>
      </c>
    </row>
    <row r="33" customFormat="false" ht="15" hidden="false" customHeight="false" outlineLevel="0" collapsed="false">
      <c r="A33" s="47" t="s">
        <v>350</v>
      </c>
      <c r="B33" s="25" t="n">
        <f aca="false">IF(B11=0,0,SUM('Monthly P&amp;L'!B12:D12)/B11)</f>
        <v>0</v>
      </c>
      <c r="C33" s="25" t="n">
        <f aca="false">IF(C11=0,0,SUM('Monthly P&amp;L'!E12:G12)/C11)</f>
        <v>0</v>
      </c>
      <c r="D33" s="25" t="n">
        <f aca="false">IF(D11=0,0,SUM('Monthly P&amp;L'!H12:J12)/D11)</f>
        <v>0.0252442996742671</v>
      </c>
      <c r="E33" s="25" t="n">
        <f aca="false">IF(E11=0,0,SUM('Monthly P&amp;L'!K12:M12)/E11)</f>
        <v>0.0516867232195699</v>
      </c>
      <c r="F33" s="25" t="n">
        <f aca="false">IF(F11=0,0,SUM('Monthly P&amp;L'!N12:P12)/F11)</f>
        <v>0.0494000510594843</v>
      </c>
      <c r="G33" s="25" t="n">
        <f aca="false">IF(G11=0,0,SUM('Monthly P&amp;L'!Q12:S12)/G11)</f>
        <v>0.0598742640455044</v>
      </c>
      <c r="H33" s="25" t="n">
        <f aca="false">IF(H11=0,0,SUM('Monthly P&amp;L'!T12:V12)/H11)</f>
        <v>0.070010183299389</v>
      </c>
      <c r="I33" s="25" t="n">
        <f aca="false">IF(I11=0,0,SUM('Monthly P&amp;L'!W12:Y12)/I11)</f>
        <v>0.0829442661219726</v>
      </c>
      <c r="J33" s="55" t="n">
        <f aca="false">IF(J11=0,0,SUM('Monthly P&amp;L'!B12:Y12)/J11)</f>
        <v>0.0621723273307499</v>
      </c>
    </row>
    <row r="34" customFormat="false" ht="15" hidden="false" customHeight="false" outlineLevel="0" collapsed="false">
      <c r="A34" s="47" t="s">
        <v>351</v>
      </c>
      <c r="B34" s="25" t="n">
        <f aca="false">IF(B11=0,0,SUM('Monthly P&amp;L'!B13:D13)/B11)</f>
        <v>0.29923273657289</v>
      </c>
      <c r="C34" s="25" t="n">
        <f aca="false">IF(C11=0,0,SUM('Monthly P&amp;L'!E13:G13)/C11)</f>
        <v>0.367125271542361</v>
      </c>
      <c r="D34" s="25" t="n">
        <f aca="false">IF(D11=0,0,SUM('Monthly P&amp;L'!H13:J13)/D11)</f>
        <v>0.349348534201954</v>
      </c>
      <c r="E34" s="25" t="n">
        <f aca="false">IF(E11=0,0,SUM('Monthly P&amp;L'!K13:M13)/E11)</f>
        <v>0.300059183270862</v>
      </c>
      <c r="F34" s="25" t="n">
        <f aca="false">IF(F11=0,0,SUM('Monthly P&amp;L'!N13:P13)/F11)</f>
        <v>0.328567781465407</v>
      </c>
      <c r="G34" s="25" t="n">
        <f aca="false">IF(G11=0,0,SUM('Monthly P&amp;L'!Q13:S13)/G11)</f>
        <v>0.291887037221834</v>
      </c>
      <c r="H34" s="25" t="n">
        <f aca="false">IF(H11=0,0,SUM('Monthly P&amp;L'!T13:V13)/H11)</f>
        <v>0.248217922606925</v>
      </c>
      <c r="I34" s="25" t="n">
        <f aca="false">IF(I11=0,0,SUM('Monthly P&amp;L'!W13:Y13)/I11)</f>
        <v>0.213379048730668</v>
      </c>
      <c r="J34" s="55" t="n">
        <f aca="false">IF(J11=0,0,SUM('Monthly P&amp;L'!B13:Y13)/J11)</f>
        <v>0.272623660816047</v>
      </c>
    </row>
    <row r="35" customFormat="false" ht="15" hidden="false" customHeight="false" outlineLevel="0" collapsed="false">
      <c r="A35" s="47" t="s">
        <v>352</v>
      </c>
      <c r="B35" s="25" t="n">
        <f aca="false">IF(B11=0,0,SUM('Monthly P&amp;L'!B14:D14)/B11)</f>
        <v>0</v>
      </c>
      <c r="C35" s="25" t="n">
        <f aca="false">IF(C11=0,0,SUM('Monthly P&amp;L'!E14:G14)/C11)</f>
        <v>0</v>
      </c>
      <c r="D35" s="25" t="n">
        <f aca="false">IF(D11=0,0,SUM('Monthly P&amp;L'!H14:J14)/D11)</f>
        <v>0</v>
      </c>
      <c r="E35" s="25" t="n">
        <f aca="false">IF(E11=0,0,SUM('Monthly P&amp;L'!K14:M14)/E11)</f>
        <v>0.177549812586309</v>
      </c>
      <c r="F35" s="25" t="n">
        <f aca="false">IF(F11=0,0,SUM('Monthly P&amp;L'!N14:P14)/F11)</f>
        <v>0.229767679346439</v>
      </c>
      <c r="G35" s="25" t="n">
        <f aca="false">IF(G11=0,0,SUM('Monthly P&amp;L'!Q14:S14)/G11)</f>
        <v>0.26943418820477</v>
      </c>
      <c r="H35" s="25" t="n">
        <f aca="false">IF(H11=0,0,SUM('Monthly P&amp;L'!T14:V14)/H11)</f>
        <v>0.305498981670061</v>
      </c>
      <c r="I35" s="25" t="n">
        <f aca="false">IF(I11=0,0,SUM('Monthly P&amp;L'!W14:Y14)/I11)</f>
        <v>0.328275459585643</v>
      </c>
      <c r="J35" s="55" t="n">
        <f aca="false">IF(J11=0,0,SUM('Monthly P&amp;L'!B14:Y14)/J11)</f>
        <v>0.256439480282653</v>
      </c>
    </row>
    <row r="37" customFormat="false" ht="15" hidden="false" customHeight="false" outlineLevel="0" collapsed="false">
      <c r="A37" s="45" t="s">
        <v>353</v>
      </c>
      <c r="B37" s="46"/>
      <c r="C37" s="46"/>
      <c r="D37" s="46"/>
      <c r="E37" s="46"/>
      <c r="F37" s="46"/>
      <c r="G37" s="46"/>
      <c r="H37" s="46"/>
      <c r="I37" s="46"/>
      <c r="J37" s="46"/>
    </row>
    <row r="38" customFormat="false" ht="15" hidden="false" customHeight="false" outlineLevel="0" collapsed="false">
      <c r="A38" s="47" t="s">
        <v>354</v>
      </c>
      <c r="B38" s="25" t="n">
        <f aca="false">IF(B21=0,0,(SUM('Monthly P&amp;L'!B18:D18)+SUM('Monthly P&amp;L'!B19:D19)+SUM('Monthly P&amp;L'!B20:D20))/B21)</f>
        <v>0.0339049613823799</v>
      </c>
      <c r="C38" s="25" t="n">
        <f aca="false">IF(C21=0,0,(SUM('Monthly P&amp;L'!E18:G18)+SUM('Monthly P&amp;L'!E19:G19)+SUM('Monthly P&amp;L'!E20:G20))/C21)</f>
        <v>0.0435458786936236</v>
      </c>
      <c r="D38" s="25" t="n">
        <f aca="false">IF(D21=0,0,(SUM('Monthly P&amp;L'!H18:J18)+SUM('Monthly P&amp;L'!H19:J19)+SUM('Monthly P&amp;L'!H20:J20))/D21)</f>
        <v>0.0223038572553136</v>
      </c>
      <c r="E38" s="25" t="n">
        <f aca="false">IF(E21=0,0,(SUM('Monthly P&amp;L'!K18:M18)+SUM('Monthly P&amp;L'!K19:M19)+SUM('Monthly P&amp;L'!K20:M20))/E21)</f>
        <v>0.0290300724448846</v>
      </c>
      <c r="F38" s="25" t="n">
        <f aca="false">IF(F21=0,0,(SUM('Monthly P&amp;L'!N18:P18)+SUM('Monthly P&amp;L'!N19:P19)+SUM('Monthly P&amp;L'!N20:P20))/F21)</f>
        <v>0.0288335517693316</v>
      </c>
      <c r="G38" s="25" t="n">
        <f aca="false">IF(G21=0,0,(SUM('Monthly P&amp;L'!Q18:S18)+SUM('Monthly P&amp;L'!Q19:S19)+SUM('Monthly P&amp;L'!Q20:S20))/G21)</f>
        <v>0.033772330160386</v>
      </c>
      <c r="H38" s="25" t="n">
        <f aca="false">IF(H21=0,0,(SUM('Monthly P&amp;L'!T18:V18)+SUM('Monthly P&amp;L'!T19:V19)+SUM('Monthly P&amp;L'!T20:V20))/H21)</f>
        <v>0.0383700307133279</v>
      </c>
      <c r="I38" s="25" t="n">
        <f aca="false">IF(I21=0,0,(SUM('Monthly P&amp;L'!W18:Y18)+SUM('Monthly P&amp;L'!W19:Y19)+SUM('Monthly P&amp;L'!W20:Y20))/I21)</f>
        <v>0.0436241610738255</v>
      </c>
      <c r="J38" s="55" t="n">
        <f aca="false">IF(J21=0,0,(SUM('Monthly P&amp;L'!B18:Y18)+SUM('Monthly P&amp;L'!B19:Y19)+SUM('Monthly P&amp;L'!B20:Y20))/J21)</f>
        <v>0.033697850605053</v>
      </c>
    </row>
    <row r="39" customFormat="false" ht="15" hidden="false" customHeight="false" outlineLevel="0" collapsed="false">
      <c r="A39" s="47" t="s">
        <v>355</v>
      </c>
      <c r="B39" s="25" t="n">
        <f aca="false">IF(B21=0,0,SUM('Monthly P&amp;L'!B25:D25)/B21)</f>
        <v>0.785443120827334</v>
      </c>
      <c r="C39" s="25" t="n">
        <f aca="false">IF(C21=0,0,SUM('Monthly P&amp;L'!E25:G25)/C21)</f>
        <v>0.777604976671851</v>
      </c>
      <c r="D39" s="25" t="n">
        <f aca="false">IF(D21=0,0,SUM('Monthly P&amp;L'!H25:J25)/D21)</f>
        <v>0.472316977171346</v>
      </c>
      <c r="E39" s="25" t="n">
        <f aca="false">IF(E21=0,0,SUM('Monthly P&amp;L'!K25:M25)/E21)</f>
        <v>0.469067597852713</v>
      </c>
      <c r="F39" s="25" t="n">
        <f aca="false">IF(F21=0,0,SUM('Monthly P&amp;L'!N25:P25)/F21)</f>
        <v>0.524246395806029</v>
      </c>
      <c r="G39" s="25" t="n">
        <f aca="false">IF(G21=0,0,SUM('Monthly P&amp;L'!Q25:S25)/G21)</f>
        <v>0.52158038857739</v>
      </c>
      <c r="H39" s="25" t="n">
        <f aca="false">IF(H21=0,0,SUM('Monthly P&amp;L'!T25:V25)/H21)</f>
        <v>0.519098498940174</v>
      </c>
      <c r="I39" s="25" t="n">
        <f aca="false">IF(I21=0,0,SUM('Monthly P&amp;L'!W25:Y25)/I21)</f>
        <v>0.516262261228704</v>
      </c>
      <c r="J39" s="55" t="n">
        <f aca="false">IF(J21=0,0,SUM('Monthly P&amp;L'!B25:Y25)/J21)</f>
        <v>0.534777690171746</v>
      </c>
    </row>
    <row r="40" customFormat="false" ht="15" hidden="false" customHeight="false" outlineLevel="0" collapsed="false">
      <c r="A40" s="47" t="s">
        <v>356</v>
      </c>
      <c r="B40" s="25" t="n">
        <f aca="false">IF(B21=0,0,SUM('Monthly P&amp;L'!B23:D23)/B21)</f>
        <v>0</v>
      </c>
      <c r="C40" s="25" t="n">
        <f aca="false">IF(C21=0,0,SUM('Monthly P&amp;L'!E23:G23)/C21)</f>
        <v>0</v>
      </c>
      <c r="D40" s="25" t="n">
        <f aca="false">IF(D21=0,0,SUM('Monthly P&amp;L'!H23:J23)/D21)</f>
        <v>0.393597480976122</v>
      </c>
      <c r="E40" s="25" t="n">
        <f aca="false">IF(E21=0,0,SUM('Monthly P&amp;L'!K23:M23)/E21)</f>
        <v>0.390889664877261</v>
      </c>
      <c r="F40" s="25" t="n">
        <f aca="false">IF(F21=0,0,SUM('Monthly P&amp;L'!N23:P23)/F21)</f>
        <v>0.327653997378768</v>
      </c>
      <c r="G40" s="25" t="n">
        <f aca="false">IF(G21=0,0,SUM('Monthly P&amp;L'!Q23:S23)/G21)</f>
        <v>0.325987742860868</v>
      </c>
      <c r="H40" s="25" t="n">
        <f aca="false">IF(H21=0,0,SUM('Monthly P&amp;L'!T23:V23)/H21)</f>
        <v>0.324436561837609</v>
      </c>
      <c r="I40" s="25" t="n">
        <f aca="false">IF(I21=0,0,SUM('Monthly P&amp;L'!W23:Y23)/I21)</f>
        <v>0.32266391326794</v>
      </c>
      <c r="J40" s="55" t="n">
        <f aca="false">IF(J21=0,0,SUM('Monthly P&amp;L'!B23:Y23)/J21)</f>
        <v>0.3085255904837</v>
      </c>
    </row>
    <row r="41" customFormat="false" ht="15" hidden="false" customHeight="false" outlineLevel="0" collapsed="false">
      <c r="A41" s="47" t="s">
        <v>357</v>
      </c>
      <c r="B41" s="25" t="n">
        <f aca="false">IF(B21=0,0,SUM('Monthly P&amp;L'!B22:D22)/B21)</f>
        <v>0.05890823406205</v>
      </c>
      <c r="C41" s="25" t="n">
        <f aca="false">IF(C21=0,0,SUM('Monthly P&amp;L'!E22:G22)/C21)</f>
        <v>0.0583203732503888</v>
      </c>
      <c r="D41" s="25" t="n">
        <f aca="false">IF(D21=0,0,SUM('Monthly P&amp;L'!H22:J22)/D21)</f>
        <v>0.0629755969561795</v>
      </c>
      <c r="E41" s="25" t="n">
        <f aca="false">IF(E21=0,0,SUM('Monthly P&amp;L'!K22:M22)/E21)</f>
        <v>0.0625423463803617</v>
      </c>
      <c r="F41" s="25" t="n">
        <f aca="false">IF(F21=0,0,SUM('Monthly P&amp;L'!N22:P22)/F21)</f>
        <v>0.0786369593709043</v>
      </c>
      <c r="G41" s="25" t="n">
        <f aca="false">IF(G21=0,0,SUM('Monthly P&amp;L'!Q22:S22)/G21)</f>
        <v>0.0782370582866084</v>
      </c>
      <c r="H41" s="25" t="n">
        <f aca="false">IF(H21=0,0,SUM('Monthly P&amp;L'!T22:V22)/H21)</f>
        <v>0.0778647748410261</v>
      </c>
      <c r="I41" s="25" t="n">
        <f aca="false">IF(I21=0,0,SUM('Monthly P&amp;L'!W22:Y22)/I21)</f>
        <v>0.0774393391843056</v>
      </c>
      <c r="J41" s="55" t="n">
        <f aca="false">IF(J21=0,0,SUM('Monthly P&amp;L'!B22:Y22)/J21)</f>
        <v>0.0719893044461966</v>
      </c>
    </row>
    <row r="42" customFormat="false" ht="15" hidden="false" customHeight="false" outlineLevel="0" collapsed="false">
      <c r="A42" s="47" t="s">
        <v>358</v>
      </c>
      <c r="B42" s="25" t="n">
        <f aca="false">IF(B21=0,0,(SUM('Monthly P&amp;L'!B21:D21)+SUM('Monthly P&amp;L'!B24:D24))/B21)</f>
        <v>0.121743683728237</v>
      </c>
      <c r="C42" s="25" t="n">
        <f aca="false">IF(C21=0,0,(SUM('Monthly P&amp;L'!E21:G21)+SUM('Monthly P&amp;L'!E24:G24))/C21)</f>
        <v>0.120528771384137</v>
      </c>
      <c r="D42" s="25" t="n">
        <f aca="false">IF(D21=0,0,(SUM('Monthly P&amp;L'!H21:J21)+SUM('Monthly P&amp;L'!H24:J24))/D21)</f>
        <v>0.0488060876410391</v>
      </c>
      <c r="E42" s="25" t="n">
        <f aca="false">IF(E21=0,0,(SUM('Monthly P&amp;L'!K21:M21)+SUM('Monthly P&amp;L'!K24:M24))/E21)</f>
        <v>0.0484703184447803</v>
      </c>
      <c r="F42" s="25" t="n">
        <f aca="false">IF(F21=0,0,(SUM('Monthly P&amp;L'!N21:P21)+SUM('Monthly P&amp;L'!N24:P24))/F21)</f>
        <v>0.0406290956749672</v>
      </c>
      <c r="G42" s="25" t="n">
        <f aca="false">IF(G21=0,0,(SUM('Monthly P&amp;L'!Q21:S21)+SUM('Monthly P&amp;L'!Q24:S24))/G21)</f>
        <v>0.0404224801147477</v>
      </c>
      <c r="H42" s="25" t="n">
        <f aca="false">IF(H21=0,0,(SUM('Monthly P&amp;L'!T21:V21)+SUM('Monthly P&amp;L'!T24:V24))/H21)</f>
        <v>0.0402301336678635</v>
      </c>
      <c r="I42" s="25" t="n">
        <f aca="false">IF(I21=0,0,(SUM('Monthly P&amp;L'!W21:Y21)+SUM('Monthly P&amp;L'!W24:Y24))/I21)</f>
        <v>0.0400103252452246</v>
      </c>
      <c r="J42" s="55" t="n">
        <f aca="false">IF(J21=0,0,(SUM('Monthly P&amp;L'!B21:Y21)+SUM('Monthly P&amp;L'!B24:Y24))/J21)</f>
        <v>0.051009564293305</v>
      </c>
    </row>
    <row r="44" customFormat="false" ht="15" hidden="false" customHeight="false" outlineLevel="0" collapsed="false">
      <c r="A44" s="45" t="s">
        <v>359</v>
      </c>
      <c r="B44" s="46"/>
      <c r="C44" s="46"/>
      <c r="D44" s="46"/>
      <c r="E44" s="46"/>
      <c r="F44" s="46"/>
      <c r="G44" s="46"/>
      <c r="H44" s="46"/>
      <c r="I44" s="46"/>
      <c r="J44" s="46"/>
    </row>
    <row r="45" customFormat="false" ht="17.35" hidden="false" customHeight="false" outlineLevel="0" collapsed="false">
      <c r="A45" s="59" t="s">
        <v>360</v>
      </c>
      <c r="B45" s="60" t="n">
        <f aca="false">J27</f>
        <v>0</v>
      </c>
    </row>
    <row r="46" customFormat="false" ht="17.35" hidden="false" customHeight="false" outlineLevel="0" collapsed="false">
      <c r="A46" s="61" t="s">
        <v>361</v>
      </c>
      <c r="B46" s="62" t="n">
        <f aca="false">J24</f>
        <v>-93211</v>
      </c>
    </row>
    <row r="47" customFormat="false" ht="15" hidden="false" customHeight="false" outlineLevel="0" collapsed="false">
      <c r="A47" s="54" t="s">
        <v>362</v>
      </c>
      <c r="B47" s="63" t="n">
        <f aca="false">J11</f>
        <v>52644</v>
      </c>
    </row>
    <row r="48" customFormat="false" ht="15" hidden="false" customHeight="false" outlineLevel="0" collapsed="false">
      <c r="A48" s="54" t="s">
        <v>363</v>
      </c>
      <c r="B48" s="63" t="n">
        <f aca="false">J21</f>
        <v>145855</v>
      </c>
    </row>
    <row r="49" customFormat="false" ht="15" hidden="false" customHeight="false" outlineLevel="0" collapsed="false">
      <c r="A49" s="54" t="s">
        <v>364</v>
      </c>
      <c r="B49" s="63" t="n">
        <f aca="false">J20</f>
        <v>78000</v>
      </c>
    </row>
    <row r="50" customFormat="false" ht="15" hidden="false" customHeight="false" outlineLevel="0" collapsed="false">
      <c r="A50" s="47" t="s">
        <v>365</v>
      </c>
      <c r="B50" s="64" t="n">
        <f aca="false">IF(B48=0,0,B49/B48)</f>
        <v>0.534777690171746</v>
      </c>
    </row>
    <row r="52" customFormat="false" ht="15" hidden="false" customHeight="false" outlineLevel="0" collapsed="false">
      <c r="A52" s="65" t="s">
        <v>366</v>
      </c>
    </row>
    <row r="53" customFormat="false" ht="15" hidden="false" customHeight="false" outlineLevel="0" collapsed="false">
      <c r="A53" s="66" t="s">
        <v>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H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20"/>
    <col collapsed="false" customWidth="true" hidden="false" outlineLevel="0" max="8" min="6" style="0" width="14"/>
  </cols>
  <sheetData>
    <row r="1" customFormat="false" ht="17.35" hidden="false" customHeight="false" outlineLevel="0" collapsed="false">
      <c r="A1" s="67" t="s">
        <v>368</v>
      </c>
    </row>
    <row r="2" customFormat="false" ht="15" hidden="false" customHeight="false" outlineLevel="0" collapsed="false">
      <c r="A2" s="68" t="s">
        <v>369</v>
      </c>
    </row>
    <row r="3" customFormat="false" ht="15" hidden="false" customHeight="false" outlineLevel="0" collapsed="false">
      <c r="A3" s="69" t="s">
        <v>370</v>
      </c>
    </row>
    <row r="5" customFormat="false" ht="15" hidden="false" customHeight="false" outlineLevel="0" collapsed="false">
      <c r="A5" s="45" t="s">
        <v>371</v>
      </c>
      <c r="B5" s="46"/>
      <c r="C5" s="46"/>
    </row>
    <row r="6" customFormat="false" ht="15" hidden="false" customHeight="false" outlineLevel="0" collapsed="false">
      <c r="A6" s="39" t="s">
        <v>220</v>
      </c>
      <c r="B6" s="39" t="s">
        <v>372</v>
      </c>
      <c r="C6" s="39" t="s">
        <v>373</v>
      </c>
    </row>
    <row r="7" customFormat="false" ht="15" hidden="false" customHeight="false" outlineLevel="0" collapsed="false">
      <c r="A7" s="54" t="s">
        <v>374</v>
      </c>
      <c r="B7" s="70" t="n">
        <f aca="false">Assumptions!$B$5</f>
        <v>9.99</v>
      </c>
      <c r="C7" s="71" t="s">
        <v>375</v>
      </c>
    </row>
    <row r="8" customFormat="false" ht="15" hidden="false" customHeight="false" outlineLevel="0" collapsed="false">
      <c r="A8" s="54" t="s">
        <v>376</v>
      </c>
      <c r="B8" s="70" t="n">
        <f aca="false">Assumptions!$B$6</f>
        <v>19.99</v>
      </c>
      <c r="C8" s="71" t="s">
        <v>377</v>
      </c>
    </row>
    <row r="9" customFormat="false" ht="15" hidden="false" customHeight="false" outlineLevel="0" collapsed="false">
      <c r="A9" s="54" t="s">
        <v>378</v>
      </c>
      <c r="B9" s="70" t="n">
        <f aca="false">Assumptions!$B$5*(1-Assumptions!$B$7)+Assumptions!$B$6*Assumptions!$B$7</f>
        <v>12.49</v>
      </c>
      <c r="C9" s="71" t="s">
        <v>379</v>
      </c>
    </row>
    <row r="10" customFormat="false" ht="15" hidden="false" customHeight="false" outlineLevel="0" collapsed="false">
      <c r="A10" s="54" t="s">
        <v>380</v>
      </c>
      <c r="B10" s="72" t="n">
        <f aca="false">Assumptions!$B$18</f>
        <v>0.07</v>
      </c>
      <c r="C10" s="71" t="s">
        <v>381</v>
      </c>
    </row>
    <row r="11" customFormat="false" ht="15" hidden="false" customHeight="false" outlineLevel="0" collapsed="false">
      <c r="A11" s="54" t="s">
        <v>382</v>
      </c>
      <c r="B11" s="70" t="n">
        <f aca="false">Assumptions!$B$39</f>
        <v>1.25</v>
      </c>
      <c r="C11" s="71" t="s">
        <v>383</v>
      </c>
    </row>
    <row r="13" customFormat="false" ht="15" hidden="false" customHeight="false" outlineLevel="0" collapsed="false">
      <c r="A13" s="54" t="s">
        <v>384</v>
      </c>
      <c r="B13" s="19" t="n">
        <f aca="false">'Monthly P&amp;L'!Y5</f>
        <v>145</v>
      </c>
      <c r="C13" s="71" t="s">
        <v>385</v>
      </c>
    </row>
    <row r="14" customFormat="false" ht="15" hidden="false" customHeight="false" outlineLevel="0" collapsed="false">
      <c r="A14" s="54" t="s">
        <v>386</v>
      </c>
      <c r="B14" s="19" t="n">
        <f aca="false">'Monthly P&amp;L'!Y6</f>
        <v>34</v>
      </c>
      <c r="C14" s="71" t="s">
        <v>387</v>
      </c>
    </row>
    <row r="15" customFormat="false" ht="15" hidden="false" customHeight="false" outlineLevel="0" collapsed="false">
      <c r="A15" s="54" t="s">
        <v>388</v>
      </c>
      <c r="B15" s="19" t="n">
        <f aca="false">'Monthly P&amp;L'!Y5+'Monthly P&amp;L'!Y6</f>
        <v>179</v>
      </c>
      <c r="C15" s="71" t="s">
        <v>389</v>
      </c>
    </row>
    <row r="16" customFormat="false" ht="15" hidden="false" customHeight="false" outlineLevel="0" collapsed="false">
      <c r="A16" s="54" t="s">
        <v>390</v>
      </c>
      <c r="B16" s="70" t="n">
        <f aca="false">'Monthly P&amp;L'!Y15</f>
        <v>4811</v>
      </c>
      <c r="C16" s="71" t="s">
        <v>391</v>
      </c>
    </row>
    <row r="17" customFormat="false" ht="15" hidden="false" customHeight="false" outlineLevel="0" collapsed="false">
      <c r="A17" s="54" t="s">
        <v>392</v>
      </c>
      <c r="B17" s="70" t="n">
        <f aca="false">'Monthly P&amp;L'!Y26</f>
        <v>8266</v>
      </c>
      <c r="C17" s="71" t="s">
        <v>393</v>
      </c>
    </row>
    <row r="18" customFormat="false" ht="15" hidden="false" customHeight="false" outlineLevel="0" collapsed="false">
      <c r="A18" s="54" t="s">
        <v>394</v>
      </c>
      <c r="B18" s="70" t="n">
        <f aca="false">'Monthly P&amp;L'!Y29</f>
        <v>-3455</v>
      </c>
      <c r="C18" s="71" t="s">
        <v>395</v>
      </c>
    </row>
    <row r="19" customFormat="false" ht="15" hidden="false" customHeight="false" outlineLevel="0" collapsed="false">
      <c r="A19" s="54" t="s">
        <v>396</v>
      </c>
      <c r="B19" s="70" t="n">
        <f aca="false">'Monthly P&amp;L'!Y15*12</f>
        <v>57732</v>
      </c>
      <c r="C19" s="71" t="s">
        <v>397</v>
      </c>
    </row>
    <row r="21" customFormat="false" ht="15" hidden="false" customHeight="false" outlineLevel="0" collapsed="false">
      <c r="A21" s="54" t="s">
        <v>398</v>
      </c>
      <c r="B21" s="70" t="n">
        <f aca="false">'Monthly P&amp;L'!Z15</f>
        <v>52644</v>
      </c>
      <c r="C21" s="71" t="s">
        <v>399</v>
      </c>
    </row>
    <row r="22" customFormat="false" ht="15" hidden="false" customHeight="false" outlineLevel="0" collapsed="false">
      <c r="A22" s="54" t="s">
        <v>400</v>
      </c>
      <c r="B22" s="70" t="n">
        <f aca="false">'Monthly P&amp;L'!Z26</f>
        <v>145855</v>
      </c>
      <c r="C22" s="71" t="s">
        <v>401</v>
      </c>
    </row>
    <row r="23" customFormat="false" ht="15" hidden="false" customHeight="false" outlineLevel="0" collapsed="false">
      <c r="A23" s="54" t="s">
        <v>402</v>
      </c>
      <c r="B23" s="70" t="n">
        <f aca="false">'Monthly P&amp;L'!Z29</f>
        <v>-93211</v>
      </c>
      <c r="C23" s="71" t="s">
        <v>403</v>
      </c>
    </row>
    <row r="24" customFormat="false" ht="15" hidden="false" customHeight="false" outlineLevel="0" collapsed="false">
      <c r="A24" s="54" t="s">
        <v>404</v>
      </c>
      <c r="B24" s="70" t="n">
        <f aca="false">'Monthly P&amp;L'!Y31</f>
        <v>-93211</v>
      </c>
      <c r="C24" s="71" t="s">
        <v>405</v>
      </c>
    </row>
    <row r="26" customFormat="false" ht="15" hidden="false" customHeight="false" outlineLevel="0" collapsed="false">
      <c r="A26" s="54" t="s">
        <v>406</v>
      </c>
      <c r="B26" s="70" t="n">
        <f aca="false">'Monthly P&amp;L'!Z25</f>
        <v>78000</v>
      </c>
      <c r="C26" s="71" t="s">
        <v>407</v>
      </c>
    </row>
    <row r="27" customFormat="false" ht="15" hidden="false" customHeight="false" outlineLevel="0" collapsed="false">
      <c r="A27" s="54" t="s">
        <v>408</v>
      </c>
      <c r="B27" s="72" t="n">
        <f aca="false">IF('Monthly P&amp;L'!Z26=0,0,'Monthly P&amp;L'!Z25/'Monthly P&amp;L'!Z26)</f>
        <v>0.534777690171746</v>
      </c>
      <c r="C27" s="71" t="s">
        <v>409</v>
      </c>
    </row>
    <row r="28" customFormat="false" ht="15" hidden="false" customHeight="false" outlineLevel="0" collapsed="false">
      <c r="A28" s="54" t="s">
        <v>410</v>
      </c>
      <c r="B28" s="72" t="n">
        <f aca="false">AVERAGE('Monthly P&amp;L'!B30:Y30)</f>
        <v>0.748465472562918</v>
      </c>
      <c r="C28" s="71" t="s">
        <v>411</v>
      </c>
    </row>
    <row r="30" customFormat="false" ht="15" hidden="false" customHeight="false" outlineLevel="0" collapsed="false">
      <c r="A30" s="54" t="s">
        <v>412</v>
      </c>
      <c r="B30" s="70" t="n">
        <f aca="false">Assumptions!$B$53</f>
        <v>2000</v>
      </c>
      <c r="C30" s="71" t="s">
        <v>413</v>
      </c>
    </row>
    <row r="31" customFormat="false" ht="15" hidden="false" customHeight="false" outlineLevel="0" collapsed="false">
      <c r="A31" s="54" t="s">
        <v>414</v>
      </c>
      <c r="B31" s="70" t="n">
        <f aca="false">Assumptions!$B$54</f>
        <v>3000</v>
      </c>
      <c r="C31" s="71" t="s">
        <v>415</v>
      </c>
    </row>
    <row r="32" customFormat="false" ht="15" hidden="false" customHeight="false" outlineLevel="0" collapsed="false">
      <c r="A32" s="54" t="s">
        <v>416</v>
      </c>
      <c r="B32" s="70" t="n">
        <f aca="false">Assumptions!$B$55</f>
        <v>4000</v>
      </c>
      <c r="C32" s="71" t="s">
        <v>417</v>
      </c>
    </row>
    <row r="33" customFormat="false" ht="15" hidden="false" customHeight="false" outlineLevel="0" collapsed="false">
      <c r="A33" s="54" t="s">
        <v>418</v>
      </c>
      <c r="B33" s="70" t="n">
        <f aca="false">'Monthly P&amp;L'!B25</f>
        <v>2000</v>
      </c>
      <c r="C33" s="71" t="s">
        <v>419</v>
      </c>
    </row>
    <row r="35" customFormat="false" ht="15" hidden="false" customHeight="false" outlineLevel="0" collapsed="false">
      <c r="A35" s="45" t="s">
        <v>420</v>
      </c>
      <c r="B35" s="46"/>
      <c r="C35" s="46"/>
    </row>
    <row r="36" customFormat="false" ht="15" hidden="false" customHeight="false" outlineLevel="0" collapsed="false">
      <c r="A36" s="54" t="s">
        <v>421</v>
      </c>
      <c r="B36" s="73" t="str">
        <f aca="false">IFERROR(MATCH(TRUE(),INDEX('Monthly P&amp;L'!B29:Y29&gt;0,0),0),"Never")</f>
        <v>Never</v>
      </c>
      <c r="C36" s="71" t="s">
        <v>422</v>
      </c>
    </row>
    <row r="37" customFormat="false" ht="15" hidden="false" customHeight="false" outlineLevel="0" collapsed="false">
      <c r="A37" s="54" t="s">
        <v>423</v>
      </c>
      <c r="B37" s="74" t="n">
        <f aca="false">-MIN('Monthly P&amp;L'!B31:Y31)</f>
        <v>93211</v>
      </c>
      <c r="C37" s="71" t="s">
        <v>424</v>
      </c>
    </row>
    <row r="38" customFormat="false" ht="15" hidden="false" customHeight="false" outlineLevel="0" collapsed="false">
      <c r="A38" s="54" t="s">
        <v>425</v>
      </c>
      <c r="B38" s="75" t="n">
        <f aca="false">MATCH(MIN('Monthly P&amp;L'!B31:Y31),'Monthly P&amp;L'!B31:Y31,0)</f>
        <v>24</v>
      </c>
      <c r="C38" s="71" t="s">
        <v>426</v>
      </c>
    </row>
    <row r="39" customFormat="false" ht="15" hidden="false" customHeight="false" outlineLevel="0" collapsed="false">
      <c r="A39" s="54" t="s">
        <v>427</v>
      </c>
      <c r="B39" s="64" t="n">
        <f aca="false">IF('Monthly P&amp;L'!Y15=0,0,'Monthly P&amp;L'!Y12/'Monthly P&amp;L'!Y15)</f>
        <v>0.088339222614841</v>
      </c>
      <c r="C39" s="76" t="s">
        <v>428</v>
      </c>
    </row>
    <row r="42" customFormat="false" ht="15" hidden="false" customHeight="false" outlineLevel="0" collapsed="false">
      <c r="A42" s="45" t="s">
        <v>429</v>
      </c>
      <c r="B42" s="46"/>
      <c r="C42" s="77" t="s">
        <v>430</v>
      </c>
      <c r="D42" s="46"/>
      <c r="E42" s="46"/>
      <c r="F42" s="46"/>
      <c r="G42" s="46"/>
      <c r="H42" s="46"/>
    </row>
    <row r="43" customFormat="false" ht="15" hidden="false" customHeight="false" outlineLevel="0" collapsed="false">
      <c r="A43" s="45" t="s">
        <v>431</v>
      </c>
      <c r="B43" s="46"/>
      <c r="C43" s="46"/>
      <c r="D43" s="46"/>
      <c r="E43" s="46"/>
      <c r="F43" s="46"/>
      <c r="G43" s="46"/>
      <c r="H43" s="46"/>
    </row>
    <row r="44" customFormat="false" ht="15" hidden="false" customHeight="false" outlineLevel="0" collapsed="false">
      <c r="A44" s="54" t="s">
        <v>432</v>
      </c>
      <c r="B44" s="78" t="n">
        <v>0.1</v>
      </c>
      <c r="C44" s="78" t="n">
        <v>0.15</v>
      </c>
      <c r="D44" s="78" t="n">
        <v>0.2</v>
      </c>
      <c r="E44" s="79" t="n">
        <v>0.25</v>
      </c>
      <c r="F44" s="78" t="n">
        <v>0.3</v>
      </c>
      <c r="G44" s="78" t="n">
        <v>0.4</v>
      </c>
      <c r="H44" s="78" t="n">
        <v>0.5</v>
      </c>
    </row>
    <row r="45" customFormat="false" ht="15" hidden="false" customHeight="false" outlineLevel="0" collapsed="false">
      <c r="A45" s="54" t="s">
        <v>402</v>
      </c>
      <c r="B45" s="80" t="n">
        <v>-94617</v>
      </c>
      <c r="C45" s="80" t="n">
        <v>-94196</v>
      </c>
      <c r="D45" s="80" t="n">
        <v>-93855</v>
      </c>
      <c r="E45" s="80" t="n">
        <v>-93222</v>
      </c>
      <c r="F45" s="80" t="n">
        <v>-92755</v>
      </c>
      <c r="G45" s="80" t="n">
        <v>-91393</v>
      </c>
      <c r="H45" s="80" t="n">
        <v>-89960</v>
      </c>
    </row>
    <row r="46" customFormat="false" ht="15" hidden="false" customHeight="false" outlineLevel="0" collapsed="false">
      <c r="A46" s="47" t="s">
        <v>398</v>
      </c>
      <c r="B46" s="50" t="n">
        <v>51033</v>
      </c>
      <c r="C46" s="50" t="n">
        <v>51521</v>
      </c>
      <c r="D46" s="50" t="n">
        <v>51907</v>
      </c>
      <c r="E46" s="50" t="n">
        <v>52631</v>
      </c>
      <c r="F46" s="50" t="n">
        <v>53170</v>
      </c>
      <c r="G46" s="50" t="n">
        <v>54728</v>
      </c>
      <c r="H46" s="50" t="n">
        <v>56366</v>
      </c>
    </row>
    <row r="47" customFormat="false" ht="15" hidden="false" customHeight="false" outlineLevel="0" collapsed="false">
      <c r="A47" s="47" t="s">
        <v>433</v>
      </c>
      <c r="B47" s="48" t="n">
        <v>143</v>
      </c>
      <c r="C47" s="48" t="n">
        <v>144</v>
      </c>
      <c r="D47" s="48" t="n">
        <v>144</v>
      </c>
      <c r="E47" s="48" t="n">
        <v>145</v>
      </c>
      <c r="F47" s="48" t="n">
        <v>146</v>
      </c>
      <c r="G47" s="48" t="n">
        <v>150</v>
      </c>
      <c r="H47" s="48" t="n">
        <v>153</v>
      </c>
    </row>
    <row r="48" customFormat="false" ht="15" hidden="false" customHeight="false" outlineLevel="0" collapsed="false">
      <c r="A48" s="71" t="s">
        <v>434</v>
      </c>
      <c r="B48" s="81" t="n">
        <v>-1395</v>
      </c>
      <c r="C48" s="81" t="n">
        <v>-974</v>
      </c>
      <c r="D48" s="81" t="n">
        <v>-633</v>
      </c>
      <c r="E48" s="82" t="n">
        <v>0</v>
      </c>
      <c r="F48" s="82" t="n">
        <v>467</v>
      </c>
      <c r="G48" s="82" t="n">
        <v>1829</v>
      </c>
      <c r="H48" s="82" t="n">
        <v>3262</v>
      </c>
    </row>
    <row r="50" customFormat="false" ht="15" hidden="false" customHeight="false" outlineLevel="0" collapsed="false">
      <c r="A50" s="45" t="s">
        <v>435</v>
      </c>
      <c r="B50" s="46"/>
      <c r="C50" s="46"/>
      <c r="D50" s="46"/>
      <c r="E50" s="46"/>
      <c r="F50" s="46"/>
      <c r="G50" s="46"/>
    </row>
    <row r="51" customFormat="false" ht="15" hidden="false" customHeight="false" outlineLevel="0" collapsed="false">
      <c r="A51" s="54" t="s">
        <v>432</v>
      </c>
      <c r="B51" s="78" t="n">
        <v>0.05</v>
      </c>
      <c r="C51" s="78" t="n">
        <v>0.1</v>
      </c>
      <c r="D51" s="79" t="n">
        <v>0.15</v>
      </c>
      <c r="E51" s="78" t="n">
        <v>0.2</v>
      </c>
      <c r="F51" s="78" t="n">
        <v>0.25</v>
      </c>
      <c r="G51" s="78" t="n">
        <v>0.3</v>
      </c>
    </row>
    <row r="52" customFormat="false" ht="15" hidden="false" customHeight="false" outlineLevel="0" collapsed="false">
      <c r="A52" s="54" t="s">
        <v>402</v>
      </c>
      <c r="B52" s="80" t="n">
        <v>-96824</v>
      </c>
      <c r="C52" s="80" t="n">
        <v>-95387</v>
      </c>
      <c r="D52" s="80" t="n">
        <v>-93222</v>
      </c>
      <c r="E52" s="80" t="n">
        <v>-90591</v>
      </c>
      <c r="F52" s="80" t="n">
        <v>-86444</v>
      </c>
      <c r="G52" s="80" t="n">
        <v>-81104</v>
      </c>
    </row>
    <row r="53" customFormat="false" ht="15" hidden="false" customHeight="false" outlineLevel="0" collapsed="false">
      <c r="A53" s="47" t="s">
        <v>398</v>
      </c>
      <c r="B53" s="50" t="n">
        <v>48512</v>
      </c>
      <c r="C53" s="50" t="n">
        <v>50158</v>
      </c>
      <c r="D53" s="50" t="n">
        <v>52631</v>
      </c>
      <c r="E53" s="50" t="n">
        <v>55639</v>
      </c>
      <c r="F53" s="50" t="n">
        <v>60386</v>
      </c>
      <c r="G53" s="50" t="n">
        <v>66495</v>
      </c>
    </row>
    <row r="54" customFormat="false" ht="15" hidden="false" customHeight="false" outlineLevel="0" collapsed="false">
      <c r="A54" s="47" t="s">
        <v>433</v>
      </c>
      <c r="B54" s="48" t="n">
        <v>132</v>
      </c>
      <c r="C54" s="48" t="n">
        <v>138</v>
      </c>
      <c r="D54" s="48" t="n">
        <v>145</v>
      </c>
      <c r="E54" s="48" t="n">
        <v>155</v>
      </c>
      <c r="F54" s="48" t="n">
        <v>171</v>
      </c>
      <c r="G54" s="48" t="n">
        <v>190</v>
      </c>
    </row>
    <row r="55" customFormat="false" ht="15" hidden="false" customHeight="false" outlineLevel="0" collapsed="false">
      <c r="A55" s="71" t="s">
        <v>434</v>
      </c>
      <c r="B55" s="81" t="n">
        <v>-3602</v>
      </c>
      <c r="C55" s="81" t="n">
        <v>-2165</v>
      </c>
      <c r="D55" s="82" t="n">
        <v>0</v>
      </c>
      <c r="E55" s="82" t="n">
        <v>2631</v>
      </c>
      <c r="F55" s="82" t="n">
        <v>6778</v>
      </c>
      <c r="G55" s="82" t="n">
        <v>12118</v>
      </c>
    </row>
    <row r="57" customFormat="false" ht="15" hidden="false" customHeight="false" outlineLevel="0" collapsed="false">
      <c r="A57" s="45" t="s">
        <v>252</v>
      </c>
      <c r="B57" s="46"/>
      <c r="C57" s="46"/>
      <c r="D57" s="46"/>
      <c r="E57" s="46"/>
      <c r="F57" s="46"/>
      <c r="G57" s="46"/>
    </row>
    <row r="58" customFormat="false" ht="15" hidden="false" customHeight="false" outlineLevel="0" collapsed="false">
      <c r="A58" s="54" t="s">
        <v>432</v>
      </c>
      <c r="B58" s="78" t="n">
        <v>0.03</v>
      </c>
      <c r="C58" s="78" t="n">
        <v>0.05</v>
      </c>
      <c r="D58" s="79" t="n">
        <v>0.07</v>
      </c>
      <c r="E58" s="78" t="n">
        <v>0.1</v>
      </c>
      <c r="F58" s="78" t="n">
        <v>0.12</v>
      </c>
      <c r="G58" s="78" t="n">
        <v>0.15</v>
      </c>
    </row>
    <row r="59" customFormat="false" ht="15" hidden="false" customHeight="false" outlineLevel="0" collapsed="false">
      <c r="A59" s="54" t="s">
        <v>402</v>
      </c>
      <c r="B59" s="80" t="n">
        <v>-88724</v>
      </c>
      <c r="C59" s="80" t="n">
        <v>-91171</v>
      </c>
      <c r="D59" s="80" t="n">
        <v>-93222</v>
      </c>
      <c r="E59" s="80" t="n">
        <v>-96011</v>
      </c>
      <c r="F59" s="80" t="n">
        <v>-97321</v>
      </c>
      <c r="G59" s="80" t="n">
        <v>-99015</v>
      </c>
    </row>
    <row r="60" customFormat="false" ht="15" hidden="false" customHeight="false" outlineLevel="0" collapsed="false">
      <c r="A60" s="47" t="s">
        <v>398</v>
      </c>
      <c r="B60" s="50" t="n">
        <v>57777</v>
      </c>
      <c r="C60" s="50" t="n">
        <v>54979</v>
      </c>
      <c r="D60" s="50" t="n">
        <v>52631</v>
      </c>
      <c r="E60" s="50" t="n">
        <v>49445</v>
      </c>
      <c r="F60" s="50" t="n">
        <v>47946</v>
      </c>
      <c r="G60" s="50" t="n">
        <v>46010</v>
      </c>
    </row>
    <row r="61" customFormat="false" ht="15" hidden="false" customHeight="false" outlineLevel="0" collapsed="false">
      <c r="A61" s="47" t="s">
        <v>433</v>
      </c>
      <c r="B61" s="48" t="n">
        <v>196</v>
      </c>
      <c r="C61" s="48" t="n">
        <v>168</v>
      </c>
      <c r="D61" s="48" t="n">
        <v>145</v>
      </c>
      <c r="E61" s="48" t="n">
        <v>119</v>
      </c>
      <c r="F61" s="48" t="n">
        <v>106</v>
      </c>
      <c r="G61" s="48" t="n">
        <v>91</v>
      </c>
    </row>
    <row r="62" customFormat="false" ht="15" hidden="false" customHeight="false" outlineLevel="0" collapsed="false">
      <c r="A62" s="71" t="s">
        <v>434</v>
      </c>
      <c r="B62" s="82" t="n">
        <v>4498</v>
      </c>
      <c r="C62" s="82" t="n">
        <v>2051</v>
      </c>
      <c r="D62" s="82" t="n">
        <v>0</v>
      </c>
      <c r="E62" s="81" t="n">
        <v>-2789</v>
      </c>
      <c r="F62" s="81" t="n">
        <v>-4099</v>
      </c>
      <c r="G62" s="81" t="n">
        <v>-5793</v>
      </c>
    </row>
    <row r="64" customFormat="false" ht="15" hidden="false" customHeight="false" outlineLevel="0" collapsed="false">
      <c r="A64" s="45" t="s">
        <v>436</v>
      </c>
      <c r="B64" s="46"/>
      <c r="C64" s="46"/>
      <c r="D64" s="46"/>
      <c r="E64" s="46"/>
      <c r="F64" s="46"/>
      <c r="G64" s="46"/>
    </row>
    <row r="65" customFormat="false" ht="15" hidden="false" customHeight="false" outlineLevel="0" collapsed="false">
      <c r="A65" s="54" t="s">
        <v>432</v>
      </c>
      <c r="B65" s="83" t="n">
        <v>1</v>
      </c>
      <c r="C65" s="83" t="n">
        <v>2</v>
      </c>
      <c r="D65" s="84" t="n">
        <v>3</v>
      </c>
      <c r="E65" s="83" t="n">
        <v>5</v>
      </c>
      <c r="F65" s="83" t="n">
        <v>8</v>
      </c>
      <c r="G65" s="83" t="n">
        <v>10</v>
      </c>
    </row>
    <row r="66" customFormat="false" ht="15" hidden="false" customHeight="false" outlineLevel="0" collapsed="false">
      <c r="A66" s="54" t="s">
        <v>402</v>
      </c>
      <c r="B66" s="80" t="n">
        <v>-105789</v>
      </c>
      <c r="C66" s="80" t="n">
        <v>-99688</v>
      </c>
      <c r="D66" s="80" t="n">
        <v>-93222</v>
      </c>
      <c r="E66" s="80" t="n">
        <v>-79308</v>
      </c>
      <c r="F66" s="80" t="n">
        <v>-57729</v>
      </c>
      <c r="G66" s="80" t="n">
        <v>-49838</v>
      </c>
    </row>
    <row r="67" customFormat="false" ht="15" hidden="false" customHeight="false" outlineLevel="0" collapsed="false">
      <c r="A67" s="47" t="s">
        <v>398</v>
      </c>
      <c r="B67" s="50" t="n">
        <v>38255</v>
      </c>
      <c r="C67" s="50" t="n">
        <v>45237</v>
      </c>
      <c r="D67" s="50" t="n">
        <v>52631</v>
      </c>
      <c r="E67" s="50" t="n">
        <v>68543</v>
      </c>
      <c r="F67" s="50" t="n">
        <v>93223</v>
      </c>
      <c r="G67" s="50" t="n">
        <v>102253</v>
      </c>
    </row>
    <row r="68" customFormat="false" ht="15" hidden="false" customHeight="false" outlineLevel="0" collapsed="false">
      <c r="A68" s="47" t="s">
        <v>433</v>
      </c>
      <c r="B68" s="48" t="n">
        <v>48</v>
      </c>
      <c r="C68" s="48" t="n">
        <v>97</v>
      </c>
      <c r="D68" s="48" t="n">
        <v>145</v>
      </c>
      <c r="E68" s="48" t="n">
        <v>313</v>
      </c>
      <c r="F68" s="48" t="n">
        <v>369</v>
      </c>
      <c r="G68" s="48" t="n">
        <v>371</v>
      </c>
    </row>
    <row r="69" customFormat="false" ht="15" hidden="false" customHeight="false" outlineLevel="0" collapsed="false">
      <c r="A69" s="71" t="s">
        <v>434</v>
      </c>
      <c r="B69" s="81" t="n">
        <v>-12567</v>
      </c>
      <c r="C69" s="81" t="n">
        <v>-6466</v>
      </c>
      <c r="D69" s="82" t="n">
        <v>0</v>
      </c>
      <c r="E69" s="82" t="n">
        <v>13914</v>
      </c>
      <c r="F69" s="82" t="n">
        <v>35493</v>
      </c>
      <c r="G69" s="82" t="n">
        <v>43384</v>
      </c>
    </row>
    <row r="71" customFormat="false" ht="15" hidden="false" customHeight="false" outlineLevel="0" collapsed="false">
      <c r="A71" s="45" t="s">
        <v>437</v>
      </c>
      <c r="B71" s="46"/>
      <c r="C71" s="46"/>
      <c r="D71" s="46"/>
      <c r="E71" s="46"/>
      <c r="F71" s="46"/>
      <c r="G71" s="46"/>
    </row>
    <row r="72" customFormat="false" ht="15" hidden="false" customHeight="false" outlineLevel="0" collapsed="false">
      <c r="A72" s="54" t="s">
        <v>432</v>
      </c>
      <c r="B72" s="85" t="n">
        <v>4.99</v>
      </c>
      <c r="C72" s="85" t="n">
        <v>7.99</v>
      </c>
      <c r="D72" s="86" t="n">
        <v>9.99</v>
      </c>
      <c r="E72" s="85" t="n">
        <v>12.99</v>
      </c>
      <c r="F72" s="85" t="n">
        <v>14.99</v>
      </c>
      <c r="G72" s="85" t="n">
        <v>19.99</v>
      </c>
    </row>
    <row r="73" customFormat="false" ht="15" hidden="false" customHeight="false" outlineLevel="0" collapsed="false">
      <c r="A73" s="54" t="s">
        <v>402</v>
      </c>
      <c r="B73" s="80" t="n">
        <v>-100661</v>
      </c>
      <c r="C73" s="80" t="n">
        <v>-96192</v>
      </c>
      <c r="D73" s="80" t="n">
        <v>-93222</v>
      </c>
      <c r="E73" s="80" t="n">
        <v>-88757</v>
      </c>
      <c r="F73" s="80" t="n">
        <v>-85782</v>
      </c>
      <c r="G73" s="80" t="n">
        <v>-78336</v>
      </c>
    </row>
    <row r="74" customFormat="false" ht="15" hidden="false" customHeight="false" outlineLevel="0" collapsed="false">
      <c r="A74" s="47" t="s">
        <v>398</v>
      </c>
      <c r="B74" s="50" t="n">
        <v>45192</v>
      </c>
      <c r="C74" s="50" t="n">
        <v>49661</v>
      </c>
      <c r="D74" s="50" t="n">
        <v>52631</v>
      </c>
      <c r="E74" s="50" t="n">
        <v>57096</v>
      </c>
      <c r="F74" s="50" t="n">
        <v>60071</v>
      </c>
      <c r="G74" s="50" t="n">
        <v>67517</v>
      </c>
    </row>
    <row r="75" customFormat="false" ht="15" hidden="false" customHeight="false" outlineLevel="0" collapsed="false">
      <c r="A75" s="47" t="s">
        <v>433</v>
      </c>
      <c r="B75" s="48" t="n">
        <v>145</v>
      </c>
      <c r="C75" s="48" t="n">
        <v>145</v>
      </c>
      <c r="D75" s="48" t="n">
        <v>145</v>
      </c>
      <c r="E75" s="48" t="n">
        <v>145</v>
      </c>
      <c r="F75" s="48" t="n">
        <v>145</v>
      </c>
      <c r="G75" s="48" t="n">
        <v>145</v>
      </c>
    </row>
    <row r="76" customFormat="false" ht="15" hidden="false" customHeight="false" outlineLevel="0" collapsed="false">
      <c r="A76" s="71" t="s">
        <v>434</v>
      </c>
      <c r="B76" s="81" t="n">
        <v>-7439</v>
      </c>
      <c r="C76" s="81" t="n">
        <v>-2970</v>
      </c>
      <c r="D76" s="82" t="n">
        <v>0</v>
      </c>
      <c r="E76" s="82" t="n">
        <v>4465</v>
      </c>
      <c r="F76" s="82" t="n">
        <v>7440</v>
      </c>
      <c r="G76" s="82" t="n">
        <v>14886</v>
      </c>
    </row>
    <row r="78" customFormat="false" ht="15" hidden="false" customHeight="false" outlineLevel="0" collapsed="false">
      <c r="A78" s="45" t="s">
        <v>438</v>
      </c>
      <c r="B78" s="46"/>
      <c r="C78" s="46"/>
      <c r="D78" s="46"/>
      <c r="E78" s="46"/>
      <c r="F78" s="46"/>
      <c r="G78" s="46"/>
    </row>
    <row r="79" customFormat="false" ht="15" hidden="false" customHeight="false" outlineLevel="0" collapsed="false">
      <c r="A79" s="54" t="s">
        <v>432</v>
      </c>
      <c r="B79" s="83" t="n">
        <v>4</v>
      </c>
      <c r="C79" s="83" t="n">
        <v>6</v>
      </c>
      <c r="D79" s="84" t="n">
        <v>9</v>
      </c>
      <c r="E79" s="83" t="n">
        <v>12</v>
      </c>
      <c r="F79" s="83" t="n">
        <v>15</v>
      </c>
      <c r="G79" s="83" t="n">
        <v>18</v>
      </c>
    </row>
    <row r="80" customFormat="false" ht="15" hidden="false" customHeight="false" outlineLevel="0" collapsed="false">
      <c r="A80" s="54" t="s">
        <v>402</v>
      </c>
      <c r="B80" s="80" t="n">
        <v>-89729</v>
      </c>
      <c r="C80" s="80" t="n">
        <v>-91367</v>
      </c>
      <c r="D80" s="80" t="n">
        <v>-93222</v>
      </c>
      <c r="E80" s="80" t="n">
        <v>-94211</v>
      </c>
      <c r="F80" s="80" t="n">
        <v>-94928</v>
      </c>
      <c r="G80" s="80" t="n">
        <v>-95453</v>
      </c>
    </row>
    <row r="81" customFormat="false" ht="15" hidden="false" customHeight="false" outlineLevel="0" collapsed="false">
      <c r="A81" s="47" t="s">
        <v>398</v>
      </c>
      <c r="B81" s="50" t="n">
        <v>56625</v>
      </c>
      <c r="C81" s="50" t="n">
        <v>54755</v>
      </c>
      <c r="D81" s="50" t="n">
        <v>52631</v>
      </c>
      <c r="E81" s="50" t="n">
        <v>51507</v>
      </c>
      <c r="F81" s="50" t="n">
        <v>50682</v>
      </c>
      <c r="G81" s="50" t="n">
        <v>50082</v>
      </c>
    </row>
    <row r="82" customFormat="false" ht="15" hidden="false" customHeight="false" outlineLevel="0" collapsed="false">
      <c r="A82" s="47" t="s">
        <v>433</v>
      </c>
      <c r="B82" s="48" t="n">
        <v>145</v>
      </c>
      <c r="C82" s="48" t="n">
        <v>145</v>
      </c>
      <c r="D82" s="48" t="n">
        <v>145</v>
      </c>
      <c r="E82" s="48" t="n">
        <v>145</v>
      </c>
      <c r="F82" s="48" t="n">
        <v>145</v>
      </c>
      <c r="G82" s="48" t="n">
        <v>145</v>
      </c>
    </row>
    <row r="83" customFormat="false" ht="15" hidden="false" customHeight="false" outlineLevel="0" collapsed="false">
      <c r="A83" s="71" t="s">
        <v>434</v>
      </c>
      <c r="B83" s="82" t="n">
        <v>3493</v>
      </c>
      <c r="C83" s="82" t="n">
        <v>1855</v>
      </c>
      <c r="D83" s="82" t="n">
        <v>0</v>
      </c>
      <c r="E83" s="81" t="n">
        <v>-989</v>
      </c>
      <c r="F83" s="81" t="n">
        <v>-1706</v>
      </c>
      <c r="G83" s="81" t="n">
        <v>-2231</v>
      </c>
    </row>
    <row r="85" customFormat="false" ht="15" hidden="false" customHeight="false" outlineLevel="0" collapsed="false">
      <c r="A85" s="45" t="s">
        <v>439</v>
      </c>
      <c r="B85" s="46"/>
      <c r="C85" s="46"/>
      <c r="D85" s="46"/>
      <c r="E85" s="46"/>
      <c r="F85" s="46"/>
      <c r="G85" s="46"/>
    </row>
    <row r="86" customFormat="false" ht="15" hidden="false" customHeight="false" outlineLevel="0" collapsed="false">
      <c r="A86" s="54" t="s">
        <v>432</v>
      </c>
      <c r="B86" s="85" t="n">
        <v>0.5</v>
      </c>
      <c r="C86" s="85" t="n">
        <v>0.75</v>
      </c>
      <c r="D86" s="85" t="n">
        <v>1</v>
      </c>
      <c r="E86" s="86" t="n">
        <v>1.25</v>
      </c>
      <c r="F86" s="85" t="n">
        <v>1.5</v>
      </c>
      <c r="G86" s="85" t="n">
        <v>2</v>
      </c>
    </row>
    <row r="87" customFormat="false" ht="15" hidden="false" customHeight="false" outlineLevel="0" collapsed="false">
      <c r="A87" s="54" t="s">
        <v>402</v>
      </c>
      <c r="B87" s="80" t="n">
        <v>-91733</v>
      </c>
      <c r="C87" s="80" t="n">
        <v>-92228</v>
      </c>
      <c r="D87" s="80" t="n">
        <v>-92725</v>
      </c>
      <c r="E87" s="80" t="n">
        <v>-93222</v>
      </c>
      <c r="F87" s="80" t="n">
        <v>-93717</v>
      </c>
      <c r="G87" s="80" t="n">
        <v>-94709</v>
      </c>
    </row>
    <row r="88" customFormat="false" ht="15" hidden="false" customHeight="false" outlineLevel="0" collapsed="false">
      <c r="A88" s="47" t="s">
        <v>398</v>
      </c>
      <c r="B88" s="50" t="n">
        <v>52631</v>
      </c>
      <c r="C88" s="50" t="n">
        <v>52631</v>
      </c>
      <c r="D88" s="50" t="n">
        <v>52631</v>
      </c>
      <c r="E88" s="50" t="n">
        <v>52631</v>
      </c>
      <c r="F88" s="50" t="n">
        <v>52631</v>
      </c>
      <c r="G88" s="50" t="n">
        <v>52631</v>
      </c>
    </row>
    <row r="89" customFormat="false" ht="15" hidden="false" customHeight="false" outlineLevel="0" collapsed="false">
      <c r="A89" s="47" t="s">
        <v>433</v>
      </c>
      <c r="B89" s="48" t="n">
        <v>145</v>
      </c>
      <c r="C89" s="48" t="n">
        <v>145</v>
      </c>
      <c r="D89" s="48" t="n">
        <v>145</v>
      </c>
      <c r="E89" s="48" t="n">
        <v>145</v>
      </c>
      <c r="F89" s="48" t="n">
        <v>145</v>
      </c>
      <c r="G89" s="48" t="n">
        <v>145</v>
      </c>
    </row>
    <row r="90" customFormat="false" ht="15" hidden="false" customHeight="false" outlineLevel="0" collapsed="false">
      <c r="A90" s="71" t="s">
        <v>434</v>
      </c>
      <c r="B90" s="82" t="n">
        <v>1489</v>
      </c>
      <c r="C90" s="82" t="n">
        <v>994</v>
      </c>
      <c r="D90" s="82" t="n">
        <v>497</v>
      </c>
      <c r="E90" s="82" t="n">
        <v>0</v>
      </c>
      <c r="F90" s="81" t="n">
        <v>-495</v>
      </c>
      <c r="G90" s="81" t="n">
        <v>-1487</v>
      </c>
    </row>
    <row r="92" customFormat="false" ht="15" hidden="false" customHeight="false" outlineLevel="0" collapsed="false">
      <c r="A92" s="45" t="s">
        <v>440</v>
      </c>
      <c r="B92" s="46"/>
      <c r="C92" s="46"/>
      <c r="D92" s="46"/>
      <c r="E92" s="46"/>
      <c r="F92" s="46"/>
      <c r="G92" s="46"/>
    </row>
    <row r="93" customFormat="false" ht="15" hidden="false" customHeight="false" outlineLevel="0" collapsed="false">
      <c r="A93" s="54" t="s">
        <v>432</v>
      </c>
      <c r="B93" s="83" t="n">
        <v>150</v>
      </c>
      <c r="C93" s="83" t="n">
        <v>250</v>
      </c>
      <c r="D93" s="84" t="n">
        <v>400</v>
      </c>
      <c r="E93" s="83" t="n">
        <v>600</v>
      </c>
      <c r="F93" s="83" t="n">
        <v>800</v>
      </c>
      <c r="G93" s="83" t="n">
        <v>1000</v>
      </c>
    </row>
    <row r="94" customFormat="false" ht="15" hidden="false" customHeight="false" outlineLevel="0" collapsed="false">
      <c r="A94" s="54" t="s">
        <v>402</v>
      </c>
      <c r="B94" s="80" t="n">
        <v>-91486</v>
      </c>
      <c r="C94" s="80" t="n">
        <v>-92644</v>
      </c>
      <c r="D94" s="80" t="n">
        <v>-93222</v>
      </c>
      <c r="E94" s="80" t="n">
        <v>-93222</v>
      </c>
      <c r="F94" s="80" t="n">
        <v>-93222</v>
      </c>
      <c r="G94" s="80" t="n">
        <v>-93222</v>
      </c>
    </row>
    <row r="95" customFormat="false" ht="15" hidden="false" customHeight="false" outlineLevel="0" collapsed="false">
      <c r="A95" s="47" t="s">
        <v>398</v>
      </c>
      <c r="B95" s="50" t="n">
        <v>54619</v>
      </c>
      <c r="C95" s="50" t="n">
        <v>53293</v>
      </c>
      <c r="D95" s="50" t="n">
        <v>52631</v>
      </c>
      <c r="E95" s="50" t="n">
        <v>52631</v>
      </c>
      <c r="F95" s="50" t="n">
        <v>52631</v>
      </c>
      <c r="G95" s="50" t="n">
        <v>52631</v>
      </c>
    </row>
    <row r="96" customFormat="false" ht="15" hidden="false" customHeight="false" outlineLevel="0" collapsed="false">
      <c r="A96" s="47" t="s">
        <v>433</v>
      </c>
      <c r="B96" s="48" t="n">
        <v>138</v>
      </c>
      <c r="C96" s="48" t="n">
        <v>178</v>
      </c>
      <c r="D96" s="48" t="n">
        <v>145</v>
      </c>
      <c r="E96" s="48" t="n">
        <v>145</v>
      </c>
      <c r="F96" s="48" t="n">
        <v>145</v>
      </c>
      <c r="G96" s="48" t="n">
        <v>145</v>
      </c>
    </row>
    <row r="97" customFormat="false" ht="15" hidden="false" customHeight="false" outlineLevel="0" collapsed="false">
      <c r="A97" s="71" t="s">
        <v>434</v>
      </c>
      <c r="B97" s="82" t="n">
        <v>1736</v>
      </c>
      <c r="C97" s="82" t="n">
        <v>578</v>
      </c>
      <c r="D97" s="82" t="n">
        <v>0</v>
      </c>
      <c r="E97" s="82" t="n">
        <v>0</v>
      </c>
      <c r="F97" s="82" t="n">
        <v>0</v>
      </c>
      <c r="G97" s="82" t="n">
        <v>0</v>
      </c>
    </row>
    <row r="99" customFormat="false" ht="15" hidden="false" customHeight="false" outlineLevel="0" collapsed="false">
      <c r="A99" s="45" t="s">
        <v>412</v>
      </c>
      <c r="B99" s="46"/>
      <c r="C99" s="46"/>
      <c r="D99" s="46"/>
      <c r="E99" s="46"/>
      <c r="F99" s="46"/>
      <c r="G99" s="46"/>
    </row>
    <row r="100" customFormat="false" ht="15" hidden="false" customHeight="false" outlineLevel="0" collapsed="false">
      <c r="A100" s="54" t="s">
        <v>432</v>
      </c>
      <c r="B100" s="87" t="n">
        <v>0</v>
      </c>
      <c r="C100" s="87" t="n">
        <v>1000</v>
      </c>
      <c r="D100" s="88" t="n">
        <v>2000</v>
      </c>
      <c r="E100" s="87" t="n">
        <v>3000</v>
      </c>
      <c r="F100" s="87" t="n">
        <v>4000</v>
      </c>
      <c r="G100" s="87" t="n">
        <v>5000</v>
      </c>
    </row>
    <row r="101" customFormat="false" ht="15" hidden="false" customHeight="false" outlineLevel="0" collapsed="false">
      <c r="A101" s="54" t="s">
        <v>402</v>
      </c>
      <c r="B101" s="80" t="n">
        <v>-81222</v>
      </c>
      <c r="C101" s="80" t="n">
        <v>-87222</v>
      </c>
      <c r="D101" s="80" t="n">
        <v>-93222</v>
      </c>
      <c r="E101" s="80" t="n">
        <v>-99222</v>
      </c>
      <c r="F101" s="80" t="n">
        <v>-105222</v>
      </c>
      <c r="G101" s="80" t="n">
        <v>-111222</v>
      </c>
    </row>
    <row r="102" customFormat="false" ht="15" hidden="false" customHeight="false" outlineLevel="0" collapsed="false">
      <c r="A102" s="47" t="s">
        <v>398</v>
      </c>
      <c r="B102" s="50" t="n">
        <v>52631</v>
      </c>
      <c r="C102" s="50" t="n">
        <v>52631</v>
      </c>
      <c r="D102" s="50" t="n">
        <v>52631</v>
      </c>
      <c r="E102" s="50" t="n">
        <v>52631</v>
      </c>
      <c r="F102" s="50" t="n">
        <v>52631</v>
      </c>
      <c r="G102" s="50" t="n">
        <v>52631</v>
      </c>
    </row>
    <row r="103" customFormat="false" ht="15" hidden="false" customHeight="false" outlineLevel="0" collapsed="false">
      <c r="A103" s="47" t="s">
        <v>433</v>
      </c>
      <c r="B103" s="48" t="n">
        <v>145</v>
      </c>
      <c r="C103" s="48" t="n">
        <v>145</v>
      </c>
      <c r="D103" s="48" t="n">
        <v>145</v>
      </c>
      <c r="E103" s="48" t="n">
        <v>145</v>
      </c>
      <c r="F103" s="48" t="n">
        <v>145</v>
      </c>
      <c r="G103" s="48" t="n">
        <v>145</v>
      </c>
    </row>
    <row r="104" customFormat="false" ht="15" hidden="false" customHeight="false" outlineLevel="0" collapsed="false">
      <c r="A104" s="71" t="s">
        <v>434</v>
      </c>
      <c r="B104" s="82" t="n">
        <v>12000</v>
      </c>
      <c r="C104" s="82" t="n">
        <v>6000</v>
      </c>
      <c r="D104" s="82" t="n">
        <v>0</v>
      </c>
      <c r="E104" s="81" t="n">
        <v>-6000</v>
      </c>
      <c r="F104" s="81" t="n">
        <v>-12000</v>
      </c>
      <c r="G104" s="81" t="n">
        <v>-18000</v>
      </c>
    </row>
    <row r="106" customFormat="false" ht="15" hidden="false" customHeight="false" outlineLevel="0" collapsed="false">
      <c r="A106" s="45" t="s">
        <v>414</v>
      </c>
      <c r="B106" s="46"/>
      <c r="C106" s="46"/>
      <c r="D106" s="46"/>
      <c r="E106" s="46"/>
      <c r="F106" s="46"/>
      <c r="G106" s="46"/>
    </row>
    <row r="107" customFormat="false" ht="15" hidden="false" customHeight="false" outlineLevel="0" collapsed="false">
      <c r="A107" s="54" t="s">
        <v>432</v>
      </c>
      <c r="B107" s="87" t="n">
        <v>0</v>
      </c>
      <c r="C107" s="87" t="n">
        <v>1500</v>
      </c>
      <c r="D107" s="88" t="n">
        <v>3000</v>
      </c>
      <c r="E107" s="87" t="n">
        <v>4000</v>
      </c>
      <c r="F107" s="87" t="n">
        <v>5000</v>
      </c>
      <c r="G107" s="87" t="n">
        <v>6000</v>
      </c>
    </row>
    <row r="108" customFormat="false" ht="15" hidden="false" customHeight="false" outlineLevel="0" collapsed="false">
      <c r="A108" s="54" t="s">
        <v>402</v>
      </c>
      <c r="B108" s="80" t="n">
        <v>-75222</v>
      </c>
      <c r="C108" s="80" t="n">
        <v>-84222</v>
      </c>
      <c r="D108" s="80" t="n">
        <v>-93222</v>
      </c>
      <c r="E108" s="80" t="n">
        <v>-99222</v>
      </c>
      <c r="F108" s="80" t="n">
        <v>-105222</v>
      </c>
      <c r="G108" s="80" t="n">
        <v>-111222</v>
      </c>
    </row>
    <row r="109" customFormat="false" ht="15" hidden="false" customHeight="false" outlineLevel="0" collapsed="false">
      <c r="A109" s="47" t="s">
        <v>398</v>
      </c>
      <c r="B109" s="50" t="n">
        <v>52631</v>
      </c>
      <c r="C109" s="50" t="n">
        <v>52631</v>
      </c>
      <c r="D109" s="50" t="n">
        <v>52631</v>
      </c>
      <c r="E109" s="50" t="n">
        <v>52631</v>
      </c>
      <c r="F109" s="50" t="n">
        <v>52631</v>
      </c>
      <c r="G109" s="50" t="n">
        <v>52631</v>
      </c>
    </row>
    <row r="110" customFormat="false" ht="15" hidden="false" customHeight="false" outlineLevel="0" collapsed="false">
      <c r="A110" s="47" t="s">
        <v>433</v>
      </c>
      <c r="B110" s="48" t="n">
        <v>145</v>
      </c>
      <c r="C110" s="48" t="n">
        <v>145</v>
      </c>
      <c r="D110" s="48" t="n">
        <v>145</v>
      </c>
      <c r="E110" s="48" t="n">
        <v>145</v>
      </c>
      <c r="F110" s="48" t="n">
        <v>145</v>
      </c>
      <c r="G110" s="48" t="n">
        <v>145</v>
      </c>
    </row>
    <row r="111" customFormat="false" ht="15" hidden="false" customHeight="false" outlineLevel="0" collapsed="false">
      <c r="A111" s="71" t="s">
        <v>434</v>
      </c>
      <c r="B111" s="82" t="n">
        <v>18000</v>
      </c>
      <c r="C111" s="82" t="n">
        <v>9000</v>
      </c>
      <c r="D111" s="82" t="n">
        <v>0</v>
      </c>
      <c r="E111" s="81" t="n">
        <v>-6000</v>
      </c>
      <c r="F111" s="81" t="n">
        <v>-12000</v>
      </c>
      <c r="G111" s="81" t="n">
        <v>-18000</v>
      </c>
    </row>
    <row r="113" customFormat="false" ht="15" hidden="false" customHeight="false" outlineLevel="0" collapsed="false">
      <c r="A113" s="45" t="s">
        <v>416</v>
      </c>
      <c r="B113" s="46"/>
      <c r="C113" s="46"/>
      <c r="D113" s="46"/>
      <c r="E113" s="46"/>
      <c r="F113" s="46"/>
      <c r="G113" s="46"/>
    </row>
    <row r="114" customFormat="false" ht="15" hidden="false" customHeight="false" outlineLevel="0" collapsed="false">
      <c r="A114" s="54" t="s">
        <v>432</v>
      </c>
      <c r="B114" s="87" t="n">
        <v>0</v>
      </c>
      <c r="C114" s="87" t="n">
        <v>2000</v>
      </c>
      <c r="D114" s="88" t="n">
        <v>4000</v>
      </c>
      <c r="E114" s="87" t="n">
        <v>5000</v>
      </c>
      <c r="F114" s="87" t="n">
        <v>6000</v>
      </c>
      <c r="G114" s="87" t="n">
        <v>8000</v>
      </c>
    </row>
    <row r="115" customFormat="false" ht="15" hidden="false" customHeight="false" outlineLevel="0" collapsed="false">
      <c r="A115" s="54" t="s">
        <v>402</v>
      </c>
      <c r="B115" s="80" t="n">
        <v>-45222</v>
      </c>
      <c r="C115" s="80" t="n">
        <v>-69222</v>
      </c>
      <c r="D115" s="80" t="n">
        <v>-93222</v>
      </c>
      <c r="E115" s="80" t="n">
        <v>-105222</v>
      </c>
      <c r="F115" s="80" t="n">
        <v>-117222</v>
      </c>
      <c r="G115" s="80" t="n">
        <v>-141222</v>
      </c>
    </row>
    <row r="116" customFormat="false" ht="15" hidden="false" customHeight="false" outlineLevel="0" collapsed="false">
      <c r="A116" s="47" t="s">
        <v>398</v>
      </c>
      <c r="B116" s="50" t="n">
        <v>52631</v>
      </c>
      <c r="C116" s="50" t="n">
        <v>52631</v>
      </c>
      <c r="D116" s="50" t="n">
        <v>52631</v>
      </c>
      <c r="E116" s="50" t="n">
        <v>52631</v>
      </c>
      <c r="F116" s="50" t="n">
        <v>52631</v>
      </c>
      <c r="G116" s="50" t="n">
        <v>52631</v>
      </c>
    </row>
    <row r="117" customFormat="false" ht="15" hidden="false" customHeight="false" outlineLevel="0" collapsed="false">
      <c r="A117" s="47" t="s">
        <v>433</v>
      </c>
      <c r="B117" s="48" t="n">
        <v>145</v>
      </c>
      <c r="C117" s="48" t="n">
        <v>145</v>
      </c>
      <c r="D117" s="48" t="n">
        <v>145</v>
      </c>
      <c r="E117" s="48" t="n">
        <v>145</v>
      </c>
      <c r="F117" s="48" t="n">
        <v>145</v>
      </c>
      <c r="G117" s="48" t="n">
        <v>145</v>
      </c>
    </row>
    <row r="118" customFormat="false" ht="15" hidden="false" customHeight="false" outlineLevel="0" collapsed="false">
      <c r="A118" s="71" t="s">
        <v>434</v>
      </c>
      <c r="B118" s="82" t="n">
        <v>48000</v>
      </c>
      <c r="C118" s="82" t="n">
        <v>24000</v>
      </c>
      <c r="D118" s="82" t="n">
        <v>0</v>
      </c>
      <c r="E118" s="81" t="n">
        <v>-12000</v>
      </c>
      <c r="F118" s="81" t="n">
        <v>-24000</v>
      </c>
      <c r="G118" s="81" t="n">
        <v>-48000</v>
      </c>
    </row>
    <row r="121" customFormat="false" ht="16.15" hidden="false" customHeight="false" outlineLevel="0" collapsed="false">
      <c r="A121" s="89" t="s">
        <v>441</v>
      </c>
      <c r="B121" s="46"/>
      <c r="C121" s="46"/>
      <c r="D121" s="46"/>
      <c r="E121" s="46"/>
    </row>
    <row r="122" customFormat="false" ht="15" hidden="false" customHeight="false" outlineLevel="0" collapsed="false">
      <c r="A122" s="39" t="s">
        <v>442</v>
      </c>
      <c r="B122" s="39" t="s">
        <v>443</v>
      </c>
      <c r="C122" s="39" t="s">
        <v>444</v>
      </c>
      <c r="D122" s="39" t="s">
        <v>445</v>
      </c>
      <c r="E122" s="39" t="s">
        <v>446</v>
      </c>
    </row>
    <row r="123" customFormat="false" ht="15" hidden="false" customHeight="false" outlineLevel="0" collapsed="false">
      <c r="A123" s="90" t="n">
        <v>1</v>
      </c>
      <c r="B123" s="47" t="s">
        <v>416</v>
      </c>
      <c r="C123" s="56" t="n">
        <v>-141222</v>
      </c>
      <c r="D123" s="91" t="n">
        <v>-45222</v>
      </c>
      <c r="E123" s="92" t="n">
        <v>96000</v>
      </c>
    </row>
    <row r="124" customFormat="false" ht="15" hidden="false" customHeight="false" outlineLevel="0" collapsed="false">
      <c r="A124" s="93" t="n">
        <v>2</v>
      </c>
      <c r="B124" s="94" t="s">
        <v>436</v>
      </c>
      <c r="C124" s="95" t="n">
        <v>-105789</v>
      </c>
      <c r="D124" s="96" t="n">
        <v>-49838</v>
      </c>
      <c r="E124" s="97" t="n">
        <v>55951</v>
      </c>
    </row>
    <row r="125" customFormat="false" ht="15" hidden="false" customHeight="false" outlineLevel="0" collapsed="false">
      <c r="A125" s="90" t="n">
        <v>3</v>
      </c>
      <c r="B125" s="47" t="s">
        <v>414</v>
      </c>
      <c r="C125" s="56" t="n">
        <v>-111222</v>
      </c>
      <c r="D125" s="91" t="n">
        <v>-75222</v>
      </c>
      <c r="E125" s="92" t="n">
        <v>36000</v>
      </c>
    </row>
    <row r="126" customFormat="false" ht="15" hidden="false" customHeight="false" outlineLevel="0" collapsed="false">
      <c r="A126" s="93" t="n">
        <v>4</v>
      </c>
      <c r="B126" s="94" t="s">
        <v>412</v>
      </c>
      <c r="C126" s="95" t="n">
        <v>-111222</v>
      </c>
      <c r="D126" s="96" t="n">
        <v>-81222</v>
      </c>
      <c r="E126" s="97" t="n">
        <v>30000</v>
      </c>
    </row>
    <row r="127" customFormat="false" ht="15" hidden="false" customHeight="false" outlineLevel="0" collapsed="false">
      <c r="A127" s="90" t="n">
        <v>5</v>
      </c>
      <c r="B127" s="47" t="s">
        <v>437</v>
      </c>
      <c r="C127" s="56" t="n">
        <v>-100661</v>
      </c>
      <c r="D127" s="91" t="n">
        <v>-78336</v>
      </c>
      <c r="E127" s="92" t="n">
        <v>22325</v>
      </c>
    </row>
    <row r="128" customFormat="false" ht="15" hidden="false" customHeight="false" outlineLevel="0" collapsed="false">
      <c r="A128" s="93" t="n">
        <v>6</v>
      </c>
      <c r="B128" s="94" t="s">
        <v>435</v>
      </c>
      <c r="C128" s="95" t="n">
        <v>-96824</v>
      </c>
      <c r="D128" s="96" t="n">
        <v>-81104</v>
      </c>
      <c r="E128" s="97" t="n">
        <v>15720</v>
      </c>
    </row>
    <row r="129" customFormat="false" ht="15" hidden="false" customHeight="false" outlineLevel="0" collapsed="false">
      <c r="A129" s="90" t="n">
        <v>7</v>
      </c>
      <c r="B129" s="47" t="s">
        <v>252</v>
      </c>
      <c r="C129" s="56" t="n">
        <v>-99015</v>
      </c>
      <c r="D129" s="91" t="n">
        <v>-88724</v>
      </c>
      <c r="E129" s="92" t="n">
        <v>10291</v>
      </c>
    </row>
    <row r="130" customFormat="false" ht="15" hidden="false" customHeight="false" outlineLevel="0" collapsed="false">
      <c r="A130" s="93" t="n">
        <v>8</v>
      </c>
      <c r="B130" s="94" t="s">
        <v>438</v>
      </c>
      <c r="C130" s="95" t="n">
        <v>-95453</v>
      </c>
      <c r="D130" s="96" t="n">
        <v>-89729</v>
      </c>
      <c r="E130" s="97" t="n">
        <v>5724</v>
      </c>
    </row>
    <row r="131" customFormat="false" ht="15" hidden="false" customHeight="false" outlineLevel="0" collapsed="false">
      <c r="A131" s="90" t="n">
        <v>9</v>
      </c>
      <c r="B131" s="47" t="s">
        <v>431</v>
      </c>
      <c r="C131" s="56" t="n">
        <v>-94617</v>
      </c>
      <c r="D131" s="91" t="n">
        <v>-89960</v>
      </c>
      <c r="E131" s="92" t="n">
        <v>4657</v>
      </c>
    </row>
    <row r="132" customFormat="false" ht="15" hidden="false" customHeight="false" outlineLevel="0" collapsed="false">
      <c r="A132" s="93" t="n">
        <v>10</v>
      </c>
      <c r="B132" s="94" t="s">
        <v>439</v>
      </c>
      <c r="C132" s="95" t="n">
        <v>-94709</v>
      </c>
      <c r="D132" s="96" t="n">
        <v>-91733</v>
      </c>
      <c r="E132" s="97" t="n">
        <v>2976</v>
      </c>
    </row>
    <row r="133" customFormat="false" ht="15" hidden="false" customHeight="false" outlineLevel="0" collapsed="false">
      <c r="A133" s="90" t="n">
        <v>11</v>
      </c>
      <c r="B133" s="47" t="s">
        <v>440</v>
      </c>
      <c r="C133" s="56" t="n">
        <v>-93222</v>
      </c>
      <c r="D133" s="91" t="n">
        <v>-91486</v>
      </c>
      <c r="E133" s="92" t="n">
        <v>1736</v>
      </c>
    </row>
    <row r="136" customFormat="false" ht="15" hidden="false" customHeight="false" outlineLevel="0" collapsed="false">
      <c r="A136" s="98" t="s">
        <v>447</v>
      </c>
      <c r="B136" s="98"/>
      <c r="C136" s="98"/>
      <c r="D136" s="98"/>
      <c r="E136" s="98"/>
      <c r="F136" s="98"/>
      <c r="G136" s="98"/>
      <c r="H136" s="98"/>
    </row>
    <row r="137" customFormat="false" ht="15" hidden="false" customHeight="false" outlineLevel="0" collapsed="false">
      <c r="A137" s="98" t="s">
        <v>448</v>
      </c>
      <c r="B137" s="98"/>
      <c r="C137" s="98"/>
      <c r="D137" s="98"/>
      <c r="E137" s="98"/>
      <c r="F137" s="98"/>
      <c r="G137" s="98"/>
      <c r="H137" s="98"/>
    </row>
    <row r="138" customFormat="false" ht="15" hidden="false" customHeight="false" outlineLevel="0" collapsed="false">
      <c r="A138" s="98" t="s">
        <v>449</v>
      </c>
      <c r="B138" s="98"/>
      <c r="C138" s="98"/>
      <c r="D138" s="98"/>
      <c r="E138" s="98"/>
      <c r="F138" s="98"/>
      <c r="G138" s="98"/>
      <c r="H138" s="98"/>
    </row>
    <row r="139" customFormat="false" ht="15" hidden="false" customHeight="false" outlineLevel="0" collapsed="false">
      <c r="A139" s="98" t="s">
        <v>450</v>
      </c>
      <c r="B139" s="98"/>
      <c r="C139" s="98"/>
      <c r="D139" s="98"/>
      <c r="E139" s="98"/>
      <c r="F139" s="98"/>
      <c r="G139" s="98"/>
      <c r="H139" s="98"/>
    </row>
    <row r="140" customFormat="false" ht="15" hidden="false" customHeight="false" outlineLevel="0" collapsed="false">
      <c r="A140" s="98" t="s">
        <v>451</v>
      </c>
      <c r="B140" s="98"/>
      <c r="C140" s="98"/>
      <c r="D140" s="98"/>
      <c r="E140" s="98"/>
      <c r="F140" s="98"/>
      <c r="G140" s="98"/>
      <c r="H140" s="98"/>
    </row>
  </sheetData>
  <mergeCells count="5">
    <mergeCell ref="A136:H136"/>
    <mergeCell ref="A137:H137"/>
    <mergeCell ref="A138:H138"/>
    <mergeCell ref="A139:H139"/>
    <mergeCell ref="A140:H1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2026-02-26T20:32:06Z</dcterms:created>
  <dc:creator>openpyxl</dc:creator>
  <dc:description/>
  <dc:language>en-US</dc:language>
  <cp:lastModifiedBy/>
  <dcterms:modified xsi:type="dcterms:W3CDTF">2026-02-26T21:03:53Z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