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Gap Analysis" sheetId="2" state="visible" r:id="rId4"/>
    <sheet name="Hours Remainin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<sst xmlns="http://schemas.openxmlformats.org/spreadsheetml/2006/main" count="208" uniqueCount="160">
  <si>
    <t xml:space="preserve">WAYPOINT GTM — GAP ANALYSIS &amp; STATUS REPORT</t>
  </si>
  <si>
    <t xml:space="preserve">As of March 15, 2026 | Target: June 8, 2026 App Store Submission</t>
  </si>
  <si>
    <t xml:space="preserve">SPRINT COMPLETION STATUS</t>
  </si>
  <si>
    <t xml:space="preserve">Sprint</t>
  </si>
  <si>
    <t xml:space="preserve">Status</t>
  </si>
  <si>
    <t xml:space="preserve">Completion</t>
  </si>
  <si>
    <t xml:space="preserve">Key Gaps</t>
  </si>
  <si>
    <t xml:space="preserve">Sprint 1: Auth + Onboarding + Profile</t>
  </si>
  <si>
    <t xml:space="preserve">Complete</t>
  </si>
  <si>
    <t xml:space="preserve">100%</t>
  </si>
  <si>
    <t xml:space="preserve">None</t>
  </si>
  <si>
    <t xml:space="preserve">Sprint 2: AI Navigator + RAG</t>
  </si>
  <si>
    <t xml:space="preserve">95%</t>
  </si>
  <si>
    <t xml:space="preserve">Prompt caching not started, QA gate not run</t>
  </si>
  <si>
    <t xml:space="preserve">Sprint 3: Action Plans + Tracker</t>
  </si>
  <si>
    <t xml:space="preserve">90%</t>
  </si>
  <si>
    <t xml:space="preserve">Analytics UI partial, QA gate not run</t>
  </si>
  <si>
    <t xml:space="preserve">Sprint 4: Calendar + Deadlines</t>
  </si>
  <si>
    <t xml:space="preserve">Partial</t>
  </si>
  <si>
    <t xml:space="preserve">60%</t>
  </si>
  <si>
    <t xml:space="preserve">Google Calendar API sync, push notifs, auto-calc deadlines</t>
  </si>
  <si>
    <t xml:space="preserve">Sprint 5: Document Vault + Email</t>
  </si>
  <si>
    <t xml:space="preserve">50%</t>
  </si>
  <si>
    <t xml:space="preserve">Email draft/send (Gmail API), expo-document-picker</t>
  </si>
  <si>
    <t xml:space="preserve">Sprint 6: i18n + Polish + A11y</t>
  </si>
  <si>
    <t xml:space="preserve">85%</t>
  </si>
  <si>
    <t xml:space="preserve">VoiceOver device audit pending, perf benchmarks</t>
  </si>
  <si>
    <t xml:space="preserve">Sprint 7: App Store Prep</t>
  </si>
  <si>
    <t xml:space="preserve">75%</t>
  </si>
  <si>
    <t xml:space="preserve">TestFlight build, Apple submission pending</t>
  </si>
  <si>
    <t xml:space="preserve">OVERALL SOFTWARE PROGRESS</t>
  </si>
  <si>
    <t xml:space="preserve">Metric</t>
  </si>
  <si>
    <t xml:space="preserve">Value</t>
  </si>
  <si>
    <t xml:space="preserve">Notes</t>
  </si>
  <si>
    <t xml:space="preserve">Files created (Sprint 2-7)</t>
  </si>
  <si>
    <t xml:space="preserve">45+</t>
  </si>
  <si>
    <t xml:space="preserve">Screens, hooks, components, migrations, scripts</t>
  </si>
  <si>
    <t xml:space="preserve">TypeScript errors</t>
  </si>
  <si>
    <t xml:space="preserve">0</t>
  </si>
  <si>
    <t xml:space="preserve">Strict mode, all sprints compile clean</t>
  </si>
  <si>
    <t xml:space="preserve">Git commits (Sprint 1-7)</t>
  </si>
  <si>
    <t xml:space="preserve">9+</t>
  </si>
  <si>
    <t xml:space="preserve">Conventional commit style, all tracked</t>
  </si>
  <si>
    <t xml:space="preserve">Languages supported</t>
  </si>
  <si>
    <t xml:space="preserve">3</t>
  </si>
  <si>
    <t xml:space="preserve">English, Spanish, Vietnamese</t>
  </si>
  <si>
    <t xml:space="preserve">Supabase migrations</t>
  </si>
  <si>
    <t xml:space="preserve">4</t>
  </si>
  <si>
    <t xml:space="preserve">Schema, RLS, similarity search, actions</t>
  </si>
  <si>
    <t xml:space="preserve">KB articles ready for ingestion</t>
  </si>
  <si>
    <t xml:space="preserve">26</t>
  </si>
  <si>
    <t xml:space="preserve">Enhanced JSON with embeddings schema</t>
  </si>
  <si>
    <t xml:space="preserve">Edge Functions</t>
  </si>
  <si>
    <t xml:space="preserve">1</t>
  </si>
  <si>
    <t xml:space="preserve">ai-proxy (chat, classify, embed)</t>
  </si>
  <si>
    <t xml:space="preserve">GAP ANALYSIS — WHAT REMAINS TO SHIP</t>
  </si>
  <si>
    <t xml:space="preserve">Grouped by criticality for June 8 App Store submission</t>
  </si>
  <si>
    <t xml:space="preserve">#</t>
  </si>
  <si>
    <t xml:space="preserve">Gap Item</t>
  </si>
  <si>
    <t xml:space="preserve">Priority</t>
  </si>
  <si>
    <t xml:space="preserve">Est Hours</t>
  </si>
  <si>
    <t xml:space="preserve">Resolution Path</t>
  </si>
  <si>
    <t xml:space="preserve">P0 — MUST SHIP (App Store Blockers)</t>
  </si>
  <si>
    <t xml:space="preserve">Run Supabase migrations (002-004) on production</t>
  </si>
  <si>
    <t xml:space="preserve">P0</t>
  </si>
  <si>
    <t xml:space="preserve">Infra</t>
  </si>
  <si>
    <t xml:space="preserve">supabase db push or manual SQL execution</t>
  </si>
  <si>
    <t xml:space="preserve">Ingest 26 KB articles into pgvector (run ingest-kb.ts)</t>
  </si>
  <si>
    <t xml:space="preserve">Set OPENAI_API_KEY + SUPABASE_SERVICE_ROLE_KEY, run script</t>
  </si>
  <si>
    <t xml:space="preserve">Deploy ai-proxy Edge Function + set secrets</t>
  </si>
  <si>
    <t xml:space="preserve">supabase functions deploy ai-proxy; supabase secrets set</t>
  </si>
  <si>
    <t xml:space="preserve">Refactor client AI calls to use Edge Function (not direct API)</t>
  </si>
  <si>
    <t xml:space="preserve">S2</t>
  </si>
  <si>
    <t xml:space="preserve">DONE — Client AI calls refactored to Edge Function proxy, API keys removed from client (Mar 15)</t>
  </si>
  <si>
    <t xml:space="preserve">Wire expo-document-picker for Document Vault uploads</t>
  </si>
  <si>
    <t xml:space="preserve">S5</t>
  </si>
  <si>
    <t xml:space="preserve">DONE — vendor.d.ts types added, DocumentsScreen wired. npm install needed on device.</t>
  </si>
  <si>
    <t xml:space="preserve">Create EAS project + first TestFlight build</t>
  </si>
  <si>
    <t xml:space="preserve">S7</t>
  </si>
  <si>
    <t xml:space="preserve">eas init → eas build --platform ios → TestFlight upload</t>
  </si>
  <si>
    <t xml:space="preserve">Generate App Store screenshots (6 screens × 2 sizes)</t>
  </si>
  <si>
    <t xml:space="preserve">Run on simulator, capture 6.7" + 6.5"</t>
  </si>
  <si>
    <t xml:space="preserve">Submit to Apple App Store Review</t>
  </si>
  <si>
    <t xml:space="preserve">Fill App Store Connect, upload build, submit</t>
  </si>
  <si>
    <t xml:space="preserve">Privacy Policy + Terms of Service pages (live URLs)</t>
  </si>
  <si>
    <t xml:space="preserve">Legal</t>
  </si>
  <si>
    <t xml:space="preserve">DONE — PrivacyPolicy.tsx + TermsOfService.tsx screens created in app (Mar 15)</t>
  </si>
  <si>
    <t xml:space="preserve">Set up Sentry or crash reporting</t>
  </si>
  <si>
    <t xml:space="preserve">DONE — sentry.ts lib created, PII scrubbing, App.tsx integrated (Mar 15)</t>
  </si>
  <si>
    <t xml:space="preserve">P1 — SHOULD SHIP (High Value but Not Blockers)</t>
  </si>
  <si>
    <t xml:space="preserve">Save-from-chat → Action Plan integration (UI button)</t>
  </si>
  <si>
    <t xml:space="preserve">P1</t>
  </si>
  <si>
    <t xml:space="preserve">S2-S3</t>
  </si>
  <si>
    <t xml:space="preserve">DONE — 'Save as Action' button on NavigatorScreen message bubbles (Mar 15)</t>
  </si>
  <si>
    <t xml:space="preserve">Push notifications for deadlines (expo-notifications)</t>
  </si>
  <si>
    <t xml:space="preserve">S4</t>
  </si>
  <si>
    <t xml:space="preserve">DONE — useNotifications.ts hook with deadline scheduling, AsyncStorage persistence (Mar 15)</t>
  </si>
  <si>
    <t xml:space="preserve">VoiceOver accessibility audit (all screens)</t>
  </si>
  <si>
    <t xml:space="preserve">S6</t>
  </si>
  <si>
    <t xml:space="preserve">PARTIAL — accessibility.ts utilities + labels added to Home/Profile/Navigator. Device VoiceOver audit still needed.</t>
  </si>
  <si>
    <t xml:space="preserve">Performance benchmarks (&lt;3s cold start, &lt;50MB)</t>
  </si>
  <si>
    <t xml:space="preserve">Measure with Expo build, optimize if needed</t>
  </si>
  <si>
    <t xml:space="preserve">Full QA regression (all features end-to-end)</t>
  </si>
  <si>
    <t xml:space="preserve">Manual test plan across all screens, 3 languages</t>
  </si>
  <si>
    <t xml:space="preserve">Prompt caching for Claude API (cost optimization)</t>
  </si>
  <si>
    <t xml:space="preserve">Add cache_control to system prompt blocks</t>
  </si>
  <si>
    <t xml:space="preserve">P2 — NICE TO HAVE (Post-Launch)</t>
  </si>
  <si>
    <t xml:space="preserve">Google Calendar API integration (2-way sync)</t>
  </si>
  <si>
    <t xml:space="preserve">P2</t>
  </si>
  <si>
    <t xml:space="preserve">OAuth token handling, conflict resolution — defer to v1.1</t>
  </si>
  <si>
    <t xml:space="preserve">Email draft generation + Gmail API send</t>
  </si>
  <si>
    <t xml:space="preserve">Gmail API OAuth + draft builder — defer to v1.1</t>
  </si>
  <si>
    <t xml:space="preserve">Expense tracker</t>
  </si>
  <si>
    <t xml:space="preserve">Post</t>
  </si>
  <si>
    <t xml:space="preserve">New screen + hook — defer to v1.1</t>
  </si>
  <si>
    <t xml:space="preserve">Provider directory</t>
  </si>
  <si>
    <t xml:space="preserve">Benefits checker (diagnosis → eligibility)</t>
  </si>
  <si>
    <t xml:space="preserve">Complex logic from GAS MVP — defer to v1.1</t>
  </si>
  <si>
    <t xml:space="preserve">RC zip code lookup</t>
  </si>
  <si>
    <t xml:space="preserve">Port from GAS MVP, needs data source — defer to v1.1</t>
  </si>
  <si>
    <t xml:space="preserve">SMS integration (Twilio)</t>
  </si>
  <si>
    <t xml:space="preserve">Retention driver — defer to v1.1</t>
  </si>
  <si>
    <t xml:space="preserve">Landing page + waitlist website</t>
  </si>
  <si>
    <t xml:space="preserve">Marketing</t>
  </si>
  <si>
    <t xml:space="preserve">Vercel + Next.js site — separate workstream</t>
  </si>
  <si>
    <t xml:space="preserve">VALIDATION — NOT STARTED (Separate from Software)</t>
  </si>
  <si>
    <t xml:space="preserve">Recruit 5 beta families (personal network)</t>
  </si>
  <si>
    <t xml:space="preserve">Wk 1-2</t>
  </si>
  <si>
    <t xml:space="preserve">Friends, Embracing Autism, RCEB contacts</t>
  </si>
  <si>
    <t xml:space="preserve">Recruit 10 more beta families (Oakland networks)</t>
  </si>
  <si>
    <t xml:space="preserve">Wk 3-4</t>
  </si>
  <si>
    <t xml:space="preserve">BIA, FB groups, Piedmont adaptive</t>
  </si>
  <si>
    <t xml:space="preserve">NPS survey from beta families (target &gt;40)</t>
  </si>
  <si>
    <t xml:space="preserve">Wk 4</t>
  </si>
  <si>
    <t xml:space="preserve">Tally form after 5+ sessions per family</t>
  </si>
  <si>
    <t xml:space="preserve">3 documented outcome stories</t>
  </si>
  <si>
    <t xml:space="preserve">Wk 4-6</t>
  </si>
  <si>
    <t xml:space="preserve">Family interviews: time saved, $ found, action taken</t>
  </si>
  <si>
    <t xml:space="preserve">Willingness-to-pay survey ($9.99/mo)</t>
  </si>
  <si>
    <t xml:space="preserve">Wk 6</t>
  </si>
  <si>
    <t xml:space="preserve">Direct ask in interviews — target &gt;40% yes</t>
  </si>
  <si>
    <t xml:space="preserve">60-day validation report</t>
  </si>
  <si>
    <t xml:space="preserve">Wk 8</t>
  </si>
  <si>
    <t xml:space="preserve">Compile all metrics for go/no-go decision</t>
  </si>
  <si>
    <t xml:space="preserve">HOURS REMAINING — BY PRIORITY</t>
  </si>
  <si>
    <t xml:space="preserve">Category</t>
  </si>
  <si>
    <t xml:space="preserve">P0 Hours</t>
  </si>
  <si>
    <t xml:space="preserve">P1 Hours</t>
  </si>
  <si>
    <t xml:space="preserve">P2 Hours</t>
  </si>
  <si>
    <t xml:space="preserve">Total</t>
  </si>
  <si>
    <t xml:space="preserve">Infrastructure / DevOps</t>
  </si>
  <si>
    <t xml:space="preserve">Software gaps (S2-S7)</t>
  </si>
  <si>
    <t xml:space="preserve">App Store / Legal</t>
  </si>
  <si>
    <t xml:space="preserve">Validation / User Testing</t>
  </si>
  <si>
    <t xml:space="preserve">Marketing / Content</t>
  </si>
  <si>
    <t xml:space="preserve">TOTAL</t>
  </si>
  <si>
    <t xml:space="preserve">KEY INSIGHT</t>
  </si>
  <si>
    <t xml:space="preserve">P0 items total ~15 hours. At 20 hrs/week, that's &lt;1 week to App Store submission readiness.</t>
  </si>
  <si>
    <t xml:space="preserve">P0 + P1 total ~31 hours. At 20 hrs/week, that's ~1.5 weeks — well within the June 8 deadline.</t>
  </si>
  <si>
    <t xml:space="preserve">P2 items (64 hours) are deferred to v1.1. They're high-value but not launch blockers.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</si>
</sst>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A4A"/>
      <name val="Cambria"/>
      <family val="0"/>
      <charset val="1"/>
    </font>
    <font>
      <i val="true"/>
      <sz val="11"/>
      <color rgb="FF64748B"/>
      <name val="Cambria"/>
      <family val="0"/>
      <charset val="1"/>
    </font>
    <font>
      <b val="true"/>
      <sz val="13"/>
      <color rgb="FF1B2A4A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334155"/>
      <name val="Cambria"/>
      <family val="0"/>
      <charset val="1"/>
    </font>
    <font>
      <b val="true"/>
      <sz val="11"/>
      <color rgb="FF006100"/>
      <name val="Cambria"/>
      <family val="0"/>
      <charset val="1"/>
    </font>
    <font>
      <sz val="11"/>
      <color rgb="FF334155"/>
      <name val="Cambria"/>
      <family val="0"/>
      <charset val="1"/>
    </font>
    <font>
      <b val="true"/>
      <sz val="11"/>
      <color rgb="FF9C6500"/>
      <name val="Cambria"/>
      <family val="0"/>
      <charset val="1"/>
    </font>
    <font>
      <b val="true"/>
      <sz val="12"/>
      <color rgb="FF1B2A4A"/>
      <name val="Cambria"/>
      <family val="0"/>
      <charset val="1"/>
    </font>
    <font>
      <b val="true"/>
      <sz val="11"/>
      <color rgb="FF9C0006"/>
      <name val="Cambria"/>
      <family val="0"/>
      <charset val="1"/>
    </font>
    <font>
      <strike val="true"/>
      <sz val="11"/>
      <color rgb="FF006100"/>
      <name val="Cambria"/>
      <family val="0"/>
      <charset val="1"/>
    </font>
    <font>
      <sz val="11"/>
      <color rgb="FF006100"/>
      <name val="Cambria"/>
      <family val="0"/>
      <charset val="1"/>
    </font>
    <font>
      <b val="true"/>
      <sz val="11"/>
      <color rgb="FF2F5496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2A4A"/>
        <bgColor rgb="FF334155"/>
      </patternFill>
    </fill>
    <fill>
      <patternFill patternType="solid">
        <fgColor rgb="FFC6EFCE"/>
        <bgColor rgb="FFD9E2F3"/>
      </patternFill>
    </fill>
    <fill>
      <patternFill patternType="solid">
        <fgColor rgb="FFFFEB9C"/>
        <bgColor rgb="FFE2E8F0"/>
      </patternFill>
    </fill>
    <fill>
      <patternFill patternType="solid">
        <fgColor rgb="FFF1F5F9"/>
        <bgColor rgb="FFFFFFFF"/>
      </patternFill>
    </fill>
    <fill>
      <patternFill patternType="solid">
        <fgColor rgb="FFFFC7CE"/>
        <bgColor rgb="FFD9E2F3"/>
      </patternFill>
    </fill>
    <fill>
      <patternFill patternType="solid">
        <fgColor rgb="FFD9E2F3"/>
        <bgColor rgb="FFE2E8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1F5F9"/>
      <rgbColor rgb="FFE2E8F0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59E0B"/>
      <rgbColor rgb="FFEF4444"/>
      <rgbColor rgb="FF64748B"/>
      <rgbColor rgb="FF969696"/>
      <rgbColor rgb="FF1B2A4A"/>
      <rgbColor rgb="FF339966"/>
      <rgbColor rgb="FF003300"/>
      <rgbColor rgb="FF333300"/>
      <rgbColor rgb="FF993300"/>
      <rgbColor rgb="FF993366"/>
      <rgbColor rgb="FF2F5496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B2:E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5"/>
    <col collapsed="false" customWidth="true" hidden="false" outlineLevel="0" max="4" min="3" style="1" width="18"/>
    <col collapsed="false" customWidth="true" hidden="false" outlineLevel="0" max="5" min="5" style="1" width="50"/>
  </cols>
  <sheetData>
    <row r="2" customFormat="false" ht="19.5" hidden="false" customHeight="true" outlineLevel="0" collapsed="false">
      <c r="B2" s="2" t="s">
        <v>0</v>
      </c>
      <c r="C2" s="2"/>
      <c r="D2" s="2"/>
      <c r="E2" s="2"/>
    </row>
    <row r="3" customFormat="false" ht="15" hidden="false" customHeight="true" outlineLevel="0" collapsed="false">
      <c r="B3" s="3" t="s">
        <v>1</v>
      </c>
      <c r="C3" s="3"/>
      <c r="D3" s="3"/>
      <c r="E3" s="3"/>
    </row>
    <row r="5" customFormat="false" ht="15.75" hidden="false" customHeight="true" outlineLevel="0" collapsed="false">
      <c r="B5" s="4" t="s">
        <v>2</v>
      </c>
      <c r="C5" s="4"/>
      <c r="D5" s="4"/>
      <c r="E5" s="4"/>
    </row>
    <row r="6" customFormat="false" ht="15" hidden="false" customHeight="true" outlineLevel="0" collapsed="false">
      <c r="B6" s="5" t="s">
        <v>3</v>
      </c>
      <c r="C6" s="5" t="s">
        <v>4</v>
      </c>
      <c r="D6" s="5" t="s">
        <v>5</v>
      </c>
      <c r="E6" s="5" t="s">
        <v>6</v>
      </c>
    </row>
    <row r="7" customFormat="false" ht="15" hidden="false" customHeight="true" outlineLevel="0" collapsed="false">
      <c r="B7" s="6" t="s">
        <v>7</v>
      </c>
      <c r="C7" s="7" t="s">
        <v>8</v>
      </c>
      <c r="D7" s="8" t="s">
        <v>9</v>
      </c>
      <c r="E7" s="9" t="s">
        <v>10</v>
      </c>
    </row>
    <row r="8" customFormat="false" ht="15" hidden="false" customHeight="true" outlineLevel="0" collapsed="false">
      <c r="B8" s="6" t="s">
        <v>11</v>
      </c>
      <c r="C8" s="7" t="s">
        <v>8</v>
      </c>
      <c r="D8" s="8" t="s">
        <v>12</v>
      </c>
      <c r="E8" s="9" t="s">
        <v>13</v>
      </c>
    </row>
    <row r="9" customFormat="false" ht="15" hidden="false" customHeight="true" outlineLevel="0" collapsed="false">
      <c r="B9" s="6" t="s">
        <v>14</v>
      </c>
      <c r="C9" s="7" t="s">
        <v>8</v>
      </c>
      <c r="D9" s="8" t="s">
        <v>15</v>
      </c>
      <c r="E9" s="9" t="s">
        <v>16</v>
      </c>
    </row>
    <row r="10" customFormat="false" ht="15" hidden="false" customHeight="true" outlineLevel="0" collapsed="false">
      <c r="B10" s="6" t="s">
        <v>17</v>
      </c>
      <c r="C10" s="10" t="s">
        <v>18</v>
      </c>
      <c r="D10" s="8" t="s">
        <v>19</v>
      </c>
      <c r="E10" s="9" t="s">
        <v>20</v>
      </c>
    </row>
    <row r="11" customFormat="false" ht="15" hidden="false" customHeight="true" outlineLevel="0" collapsed="false">
      <c r="B11" s="6" t="s">
        <v>21</v>
      </c>
      <c r="C11" s="10" t="s">
        <v>18</v>
      </c>
      <c r="D11" s="8" t="s">
        <v>22</v>
      </c>
      <c r="E11" s="9" t="s">
        <v>23</v>
      </c>
    </row>
    <row r="12" customFormat="false" ht="15" hidden="false" customHeight="true" outlineLevel="0" collapsed="false">
      <c r="B12" s="6" t="s">
        <v>24</v>
      </c>
      <c r="C12" s="7" t="s">
        <v>8</v>
      </c>
      <c r="D12" s="8" t="s">
        <v>25</v>
      </c>
      <c r="E12" s="9" t="s">
        <v>26</v>
      </c>
    </row>
    <row r="13" customFormat="false" ht="15" hidden="false" customHeight="true" outlineLevel="0" collapsed="false">
      <c r="B13" s="6" t="s">
        <v>27</v>
      </c>
      <c r="C13" s="7" t="s">
        <v>8</v>
      </c>
      <c r="D13" s="8" t="s">
        <v>28</v>
      </c>
      <c r="E13" s="9" t="s">
        <v>29</v>
      </c>
    </row>
    <row r="15" customFormat="false" ht="15.75" hidden="false" customHeight="true" outlineLevel="0" collapsed="false">
      <c r="B15" s="4" t="s">
        <v>30</v>
      </c>
      <c r="C15" s="4"/>
      <c r="D15" s="4"/>
      <c r="E15" s="4"/>
    </row>
    <row r="16" customFormat="false" ht="15" hidden="false" customHeight="true" outlineLevel="0" collapsed="false">
      <c r="B16" s="5" t="s">
        <v>31</v>
      </c>
      <c r="C16" s="5" t="s">
        <v>32</v>
      </c>
      <c r="D16" s="5" t="s">
        <v>33</v>
      </c>
    </row>
    <row r="17" customFormat="false" ht="15" hidden="false" customHeight="true" outlineLevel="0" collapsed="false">
      <c r="B17" s="9" t="s">
        <v>34</v>
      </c>
      <c r="C17" s="11" t="s">
        <v>35</v>
      </c>
      <c r="D17" s="9" t="s">
        <v>36</v>
      </c>
    </row>
    <row r="18" customFormat="false" ht="15" hidden="false" customHeight="true" outlineLevel="0" collapsed="false">
      <c r="B18" s="9" t="s">
        <v>37</v>
      </c>
      <c r="C18" s="11" t="s">
        <v>38</v>
      </c>
      <c r="D18" s="9" t="s">
        <v>39</v>
      </c>
    </row>
    <row r="19" customFormat="false" ht="15" hidden="false" customHeight="true" outlineLevel="0" collapsed="false">
      <c r="B19" s="9" t="s">
        <v>40</v>
      </c>
      <c r="C19" s="11" t="s">
        <v>41</v>
      </c>
      <c r="D19" s="9" t="s">
        <v>42</v>
      </c>
    </row>
    <row r="20" customFormat="false" ht="15" hidden="false" customHeight="true" outlineLevel="0" collapsed="false">
      <c r="B20" s="9" t="s">
        <v>43</v>
      </c>
      <c r="C20" s="11" t="s">
        <v>44</v>
      </c>
      <c r="D20" s="9" t="s">
        <v>45</v>
      </c>
    </row>
    <row r="21" customFormat="false" ht="15" hidden="false" customHeight="true" outlineLevel="0" collapsed="false">
      <c r="B21" s="9" t="s">
        <v>46</v>
      </c>
      <c r="C21" s="11" t="s">
        <v>47</v>
      </c>
      <c r="D21" s="9" t="s">
        <v>48</v>
      </c>
    </row>
    <row r="22" customFormat="false" ht="15" hidden="false" customHeight="true" outlineLevel="0" collapsed="false">
      <c r="B22" s="9" t="s">
        <v>49</v>
      </c>
      <c r="C22" s="11" t="s">
        <v>50</v>
      </c>
      <c r="D22" s="9" t="s">
        <v>51</v>
      </c>
    </row>
    <row r="23" customFormat="false" ht="15" hidden="false" customHeight="true" outlineLevel="0" collapsed="false">
      <c r="B23" s="9" t="s">
        <v>52</v>
      </c>
      <c r="C23" s="11" t="s">
        <v>53</v>
      </c>
      <c r="D23" s="9" t="s">
        <v>54</v>
      </c>
    </row>
  </sheetData>
  <mergeCells count="4">
    <mergeCell ref="B2:E2"/>
    <mergeCell ref="B3:E3"/>
    <mergeCell ref="B5:E5"/>
    <mergeCell ref="B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F4444"/>
    <pageSetUpPr fitToPage="false"/>
  </sheetPr>
  <dimension ref="B2: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8"/>
    <col collapsed="false" customWidth="true" hidden="false" outlineLevel="0" max="3" min="3" style="1" width="42"/>
    <col collapsed="false" customWidth="true" hidden="false" outlineLevel="0" max="6" min="4" style="1" width="14"/>
    <col collapsed="false" customWidth="true" hidden="false" outlineLevel="0" max="7" min="7" style="1" width="55"/>
  </cols>
  <sheetData>
    <row r="2" customFormat="false" ht="19.5" hidden="false" customHeight="true" outlineLevel="0" collapsed="false">
      <c r="B2" s="2" t="s">
        <v>55</v>
      </c>
      <c r="C2" s="2"/>
      <c r="D2" s="2"/>
      <c r="E2" s="2"/>
      <c r="F2" s="2"/>
      <c r="G2" s="2"/>
    </row>
    <row r="3" customFormat="false" ht="15" hidden="false" customHeight="true" outlineLevel="0" collapsed="false">
      <c r="B3" s="3" t="s">
        <v>56</v>
      </c>
      <c r="C3" s="3"/>
      <c r="D3" s="3"/>
      <c r="E3" s="3"/>
      <c r="F3" s="3"/>
      <c r="G3" s="3"/>
    </row>
    <row r="5" customFormat="false" ht="15" hidden="false" customHeight="true" outlineLevel="0" collapsed="false">
      <c r="B5" s="5" t="s">
        <v>57</v>
      </c>
      <c r="C5" s="5" t="s">
        <v>58</v>
      </c>
      <c r="D5" s="5" t="s">
        <v>59</v>
      </c>
      <c r="E5" s="5" t="s">
        <v>60</v>
      </c>
      <c r="F5" s="5" t="s">
        <v>3</v>
      </c>
      <c r="G5" s="5" t="s">
        <v>61</v>
      </c>
    </row>
    <row r="6" customFormat="false" ht="15" hidden="false" customHeight="true" outlineLevel="0" collapsed="false">
      <c r="B6" s="12" t="s">
        <v>62</v>
      </c>
      <c r="C6" s="12"/>
      <c r="D6" s="12"/>
      <c r="E6" s="12"/>
      <c r="F6" s="12"/>
      <c r="G6" s="12"/>
    </row>
    <row r="7" customFormat="false" ht="15" hidden="false" customHeight="true" outlineLevel="0" collapsed="false">
      <c r="B7" s="8" t="n">
        <v>1</v>
      </c>
      <c r="C7" s="9" t="s">
        <v>63</v>
      </c>
      <c r="D7" s="13" t="s">
        <v>64</v>
      </c>
      <c r="E7" s="8" t="n">
        <v>1</v>
      </c>
      <c r="F7" s="8" t="s">
        <v>65</v>
      </c>
      <c r="G7" s="9" t="s">
        <v>66</v>
      </c>
    </row>
    <row r="8" customFormat="false" ht="15" hidden="false" customHeight="true" outlineLevel="0" collapsed="false">
      <c r="B8" s="8" t="n">
        <v>2</v>
      </c>
      <c r="C8" s="9" t="s">
        <v>67</v>
      </c>
      <c r="D8" s="13" t="s">
        <v>64</v>
      </c>
      <c r="E8" s="8" t="n">
        <v>1</v>
      </c>
      <c r="F8" s="8" t="s">
        <v>65</v>
      </c>
      <c r="G8" s="9" t="s">
        <v>68</v>
      </c>
    </row>
    <row r="9" customFormat="false" ht="15" hidden="false" customHeight="true" outlineLevel="0" collapsed="false">
      <c r="B9" s="8" t="n">
        <v>3</v>
      </c>
      <c r="C9" s="9" t="s">
        <v>69</v>
      </c>
      <c r="D9" s="13" t="s">
        <v>64</v>
      </c>
      <c r="E9" s="8" t="n">
        <v>1</v>
      </c>
      <c r="F9" s="8" t="s">
        <v>65</v>
      </c>
      <c r="G9" s="9" t="s">
        <v>70</v>
      </c>
    </row>
    <row r="10" customFormat="false" ht="15" hidden="false" customHeight="true" outlineLevel="0" collapsed="false">
      <c r="B10" s="14" t="n">
        <v>4</v>
      </c>
      <c r="C10" s="15" t="s">
        <v>71</v>
      </c>
      <c r="D10" s="14" t="s">
        <v>64</v>
      </c>
      <c r="E10" s="14" t="n">
        <v>4</v>
      </c>
      <c r="F10" s="14" t="s">
        <v>72</v>
      </c>
      <c r="G10" s="16" t="s">
        <v>73</v>
      </c>
    </row>
    <row r="11" customFormat="false" ht="15" hidden="false" customHeight="true" outlineLevel="0" collapsed="false">
      <c r="B11" s="14" t="n">
        <v>5</v>
      </c>
      <c r="C11" s="15" t="s">
        <v>74</v>
      </c>
      <c r="D11" s="14" t="s">
        <v>64</v>
      </c>
      <c r="E11" s="14" t="n">
        <v>2</v>
      </c>
      <c r="F11" s="14" t="s">
        <v>75</v>
      </c>
      <c r="G11" s="16" t="s">
        <v>76</v>
      </c>
    </row>
    <row r="12" customFormat="false" ht="15" hidden="false" customHeight="true" outlineLevel="0" collapsed="false">
      <c r="B12" s="8" t="n">
        <v>6</v>
      </c>
      <c r="C12" s="9" t="s">
        <v>77</v>
      </c>
      <c r="D12" s="13" t="s">
        <v>64</v>
      </c>
      <c r="E12" s="8" t="n">
        <v>3</v>
      </c>
      <c r="F12" s="8" t="s">
        <v>78</v>
      </c>
      <c r="G12" s="9" t="s">
        <v>79</v>
      </c>
    </row>
    <row r="13" customFormat="false" ht="15" hidden="false" customHeight="true" outlineLevel="0" collapsed="false">
      <c r="B13" s="8" t="n">
        <v>7</v>
      </c>
      <c r="C13" s="9" t="s">
        <v>80</v>
      </c>
      <c r="D13" s="13" t="s">
        <v>64</v>
      </c>
      <c r="E13" s="8" t="n">
        <v>3</v>
      </c>
      <c r="F13" s="8" t="s">
        <v>78</v>
      </c>
      <c r="G13" s="9" t="s">
        <v>81</v>
      </c>
    </row>
    <row r="14" customFormat="false" ht="15" hidden="false" customHeight="true" outlineLevel="0" collapsed="false">
      <c r="B14" s="8" t="n">
        <v>8</v>
      </c>
      <c r="C14" s="9" t="s">
        <v>82</v>
      </c>
      <c r="D14" s="13" t="s">
        <v>64</v>
      </c>
      <c r="E14" s="8" t="n">
        <v>2</v>
      </c>
      <c r="F14" s="8" t="s">
        <v>78</v>
      </c>
      <c r="G14" s="9" t="s">
        <v>83</v>
      </c>
    </row>
    <row r="15" customFormat="false" ht="15" hidden="false" customHeight="true" outlineLevel="0" collapsed="false">
      <c r="B15" s="14" t="n">
        <v>9</v>
      </c>
      <c r="C15" s="15" t="s">
        <v>84</v>
      </c>
      <c r="D15" s="14" t="s">
        <v>64</v>
      </c>
      <c r="E15" s="14" t="n">
        <v>3</v>
      </c>
      <c r="F15" s="14" t="s">
        <v>85</v>
      </c>
      <c r="G15" s="16" t="s">
        <v>86</v>
      </c>
    </row>
    <row r="16" customFormat="false" ht="15" hidden="false" customHeight="true" outlineLevel="0" collapsed="false">
      <c r="B16" s="14" t="n">
        <v>10</v>
      </c>
      <c r="C16" s="15" t="s">
        <v>87</v>
      </c>
      <c r="D16" s="14" t="s">
        <v>64</v>
      </c>
      <c r="E16" s="14" t="n">
        <v>2</v>
      </c>
      <c r="F16" s="14" t="s">
        <v>78</v>
      </c>
      <c r="G16" s="16" t="s">
        <v>88</v>
      </c>
    </row>
    <row r="17" customFormat="false" ht="15" hidden="false" customHeight="true" outlineLevel="0" collapsed="false">
      <c r="B17" s="12" t="s">
        <v>89</v>
      </c>
      <c r="C17" s="12"/>
      <c r="D17" s="12"/>
      <c r="E17" s="12"/>
      <c r="F17" s="12"/>
      <c r="G17" s="12"/>
    </row>
    <row r="18" customFormat="false" ht="15" hidden="false" customHeight="true" outlineLevel="0" collapsed="false">
      <c r="B18" s="14" t="n">
        <v>11</v>
      </c>
      <c r="C18" s="15" t="s">
        <v>90</v>
      </c>
      <c r="D18" s="14" t="s">
        <v>91</v>
      </c>
      <c r="E18" s="14" t="n">
        <v>3</v>
      </c>
      <c r="F18" s="14" t="s">
        <v>92</v>
      </c>
      <c r="G18" s="16" t="s">
        <v>93</v>
      </c>
    </row>
    <row r="19" customFormat="false" ht="15" hidden="false" customHeight="true" outlineLevel="0" collapsed="false">
      <c r="B19" s="14" t="n">
        <v>12</v>
      </c>
      <c r="C19" s="15" t="s">
        <v>94</v>
      </c>
      <c r="D19" s="14" t="s">
        <v>91</v>
      </c>
      <c r="E19" s="14" t="n">
        <v>4</v>
      </c>
      <c r="F19" s="14" t="s">
        <v>95</v>
      </c>
      <c r="G19" s="16" t="s">
        <v>96</v>
      </c>
    </row>
    <row r="20" customFormat="false" ht="15" hidden="false" customHeight="true" outlineLevel="0" collapsed="false">
      <c r="B20" s="8" t="n">
        <v>13</v>
      </c>
      <c r="C20" s="9" t="s">
        <v>97</v>
      </c>
      <c r="D20" s="10" t="s">
        <v>91</v>
      </c>
      <c r="E20" s="8" t="n">
        <v>4</v>
      </c>
      <c r="F20" s="8" t="s">
        <v>98</v>
      </c>
      <c r="G20" s="9" t="s">
        <v>99</v>
      </c>
    </row>
    <row r="21" customFormat="false" ht="15" hidden="false" customHeight="true" outlineLevel="0" collapsed="false">
      <c r="B21" s="8" t="n">
        <v>14</v>
      </c>
      <c r="C21" s="9" t="s">
        <v>100</v>
      </c>
      <c r="D21" s="10" t="s">
        <v>91</v>
      </c>
      <c r="E21" s="8" t="n">
        <v>2</v>
      </c>
      <c r="F21" s="8" t="s">
        <v>98</v>
      </c>
      <c r="G21" s="9" t="s">
        <v>101</v>
      </c>
    </row>
    <row r="22" customFormat="false" ht="15" hidden="false" customHeight="true" outlineLevel="0" collapsed="false">
      <c r="B22" s="8" t="n">
        <v>15</v>
      </c>
      <c r="C22" s="9" t="s">
        <v>102</v>
      </c>
      <c r="D22" s="10" t="s">
        <v>91</v>
      </c>
      <c r="E22" s="8" t="n">
        <v>6</v>
      </c>
      <c r="F22" s="8" t="s">
        <v>78</v>
      </c>
      <c r="G22" s="9" t="s">
        <v>103</v>
      </c>
    </row>
    <row r="23" customFormat="false" ht="15" hidden="false" customHeight="true" outlineLevel="0" collapsed="false">
      <c r="B23" s="8" t="n">
        <v>16</v>
      </c>
      <c r="C23" s="9" t="s">
        <v>104</v>
      </c>
      <c r="D23" s="10" t="s">
        <v>91</v>
      </c>
      <c r="E23" s="8" t="n">
        <v>2</v>
      </c>
      <c r="F23" s="8" t="s">
        <v>72</v>
      </c>
      <c r="G23" s="9" t="s">
        <v>105</v>
      </c>
    </row>
    <row r="24" customFormat="false" ht="15" hidden="false" customHeight="true" outlineLevel="0" collapsed="false">
      <c r="B24" s="12" t="s">
        <v>106</v>
      </c>
      <c r="C24" s="12"/>
      <c r="D24" s="12"/>
      <c r="E24" s="12"/>
      <c r="F24" s="12"/>
      <c r="G24" s="12"/>
    </row>
    <row r="25" customFormat="false" ht="15" hidden="false" customHeight="true" outlineLevel="0" collapsed="false">
      <c r="B25" s="8" t="n">
        <v>17</v>
      </c>
      <c r="C25" s="9" t="s">
        <v>107</v>
      </c>
      <c r="D25" s="17" t="s">
        <v>108</v>
      </c>
      <c r="E25" s="8" t="n">
        <v>14</v>
      </c>
      <c r="F25" s="8" t="s">
        <v>95</v>
      </c>
      <c r="G25" s="9" t="s">
        <v>109</v>
      </c>
    </row>
    <row r="26" customFormat="false" ht="15" hidden="false" customHeight="true" outlineLevel="0" collapsed="false">
      <c r="B26" s="8" t="n">
        <v>18</v>
      </c>
      <c r="C26" s="9" t="s">
        <v>110</v>
      </c>
      <c r="D26" s="17" t="s">
        <v>108</v>
      </c>
      <c r="E26" s="8" t="n">
        <v>8</v>
      </c>
      <c r="F26" s="8" t="s">
        <v>75</v>
      </c>
      <c r="G26" s="9" t="s">
        <v>111</v>
      </c>
    </row>
    <row r="27" customFormat="false" ht="15" hidden="false" customHeight="true" outlineLevel="0" collapsed="false">
      <c r="B27" s="8" t="n">
        <v>19</v>
      </c>
      <c r="C27" s="9" t="s">
        <v>112</v>
      </c>
      <c r="D27" s="17" t="s">
        <v>108</v>
      </c>
      <c r="E27" s="8" t="n">
        <v>6</v>
      </c>
      <c r="F27" s="8" t="s">
        <v>113</v>
      </c>
      <c r="G27" s="9" t="s">
        <v>114</v>
      </c>
    </row>
    <row r="28" customFormat="false" ht="15" hidden="false" customHeight="true" outlineLevel="0" collapsed="false">
      <c r="B28" s="8" t="n">
        <v>20</v>
      </c>
      <c r="C28" s="9" t="s">
        <v>115</v>
      </c>
      <c r="D28" s="17" t="s">
        <v>108</v>
      </c>
      <c r="E28" s="8" t="n">
        <v>6</v>
      </c>
      <c r="F28" s="8" t="s">
        <v>113</v>
      </c>
      <c r="G28" s="9" t="s">
        <v>114</v>
      </c>
    </row>
    <row r="29" customFormat="false" ht="15" hidden="false" customHeight="true" outlineLevel="0" collapsed="false">
      <c r="B29" s="8" t="n">
        <v>21</v>
      </c>
      <c r="C29" s="9" t="s">
        <v>116</v>
      </c>
      <c r="D29" s="17" t="s">
        <v>108</v>
      </c>
      <c r="E29" s="8" t="n">
        <v>8</v>
      </c>
      <c r="F29" s="8" t="s">
        <v>113</v>
      </c>
      <c r="G29" s="9" t="s">
        <v>117</v>
      </c>
    </row>
    <row r="30" customFormat="false" ht="15" hidden="false" customHeight="true" outlineLevel="0" collapsed="false">
      <c r="B30" s="8" t="n">
        <v>22</v>
      </c>
      <c r="C30" s="9" t="s">
        <v>118</v>
      </c>
      <c r="D30" s="17" t="s">
        <v>108</v>
      </c>
      <c r="E30" s="8" t="n">
        <v>4</v>
      </c>
      <c r="F30" s="8" t="s">
        <v>113</v>
      </c>
      <c r="G30" s="9" t="s">
        <v>119</v>
      </c>
    </row>
    <row r="31" customFormat="false" ht="15" hidden="false" customHeight="true" outlineLevel="0" collapsed="false">
      <c r="B31" s="8" t="n">
        <v>23</v>
      </c>
      <c r="C31" s="9" t="s">
        <v>120</v>
      </c>
      <c r="D31" s="17" t="s">
        <v>108</v>
      </c>
      <c r="E31" s="8" t="n">
        <v>4</v>
      </c>
      <c r="F31" s="8" t="s">
        <v>113</v>
      </c>
      <c r="G31" s="9" t="s">
        <v>121</v>
      </c>
    </row>
    <row r="32" customFormat="false" ht="15" hidden="false" customHeight="true" outlineLevel="0" collapsed="false">
      <c r="B32" s="8" t="n">
        <v>24</v>
      </c>
      <c r="C32" s="9" t="s">
        <v>122</v>
      </c>
      <c r="D32" s="17" t="s">
        <v>108</v>
      </c>
      <c r="E32" s="8" t="n">
        <v>6</v>
      </c>
      <c r="F32" s="8" t="s">
        <v>123</v>
      </c>
      <c r="G32" s="9" t="s">
        <v>124</v>
      </c>
    </row>
    <row r="33" customFormat="false" ht="15" hidden="false" customHeight="true" outlineLevel="0" collapsed="false">
      <c r="B33" s="12" t="s">
        <v>125</v>
      </c>
      <c r="C33" s="12"/>
      <c r="D33" s="12"/>
      <c r="E33" s="12"/>
      <c r="F33" s="12"/>
      <c r="G33" s="12"/>
    </row>
    <row r="34" customFormat="false" ht="15" hidden="false" customHeight="true" outlineLevel="0" collapsed="false">
      <c r="B34" s="8" t="n">
        <v>25</v>
      </c>
      <c r="C34" s="9" t="s">
        <v>126</v>
      </c>
      <c r="D34" s="13" t="s">
        <v>64</v>
      </c>
      <c r="E34" s="8" t="n">
        <v>3</v>
      </c>
      <c r="F34" s="8" t="s">
        <v>127</v>
      </c>
      <c r="G34" s="9" t="s">
        <v>128</v>
      </c>
    </row>
    <row r="35" customFormat="false" ht="15" hidden="false" customHeight="true" outlineLevel="0" collapsed="false">
      <c r="B35" s="8" t="n">
        <v>26</v>
      </c>
      <c r="C35" s="9" t="s">
        <v>129</v>
      </c>
      <c r="D35" s="13" t="s">
        <v>64</v>
      </c>
      <c r="E35" s="8" t="n">
        <v>4</v>
      </c>
      <c r="F35" s="8" t="s">
        <v>130</v>
      </c>
      <c r="G35" s="9" t="s">
        <v>131</v>
      </c>
    </row>
    <row r="36" customFormat="false" ht="15" hidden="false" customHeight="true" outlineLevel="0" collapsed="false">
      <c r="B36" s="8" t="n">
        <v>27</v>
      </c>
      <c r="C36" s="9" t="s">
        <v>132</v>
      </c>
      <c r="D36" s="13" t="s">
        <v>64</v>
      </c>
      <c r="E36" s="8" t="n">
        <v>2</v>
      </c>
      <c r="F36" s="8" t="s">
        <v>133</v>
      </c>
      <c r="G36" s="9" t="s">
        <v>134</v>
      </c>
    </row>
    <row r="37" customFormat="false" ht="15" hidden="false" customHeight="true" outlineLevel="0" collapsed="false">
      <c r="B37" s="8" t="n">
        <v>28</v>
      </c>
      <c r="C37" s="9" t="s">
        <v>135</v>
      </c>
      <c r="D37" s="10" t="s">
        <v>91</v>
      </c>
      <c r="E37" s="8" t="n">
        <v>3</v>
      </c>
      <c r="F37" s="8" t="s">
        <v>136</v>
      </c>
      <c r="G37" s="9" t="s">
        <v>137</v>
      </c>
    </row>
    <row r="38" customFormat="false" ht="15" hidden="false" customHeight="true" outlineLevel="0" collapsed="false">
      <c r="B38" s="8" t="n">
        <v>29</v>
      </c>
      <c r="C38" s="9" t="s">
        <v>138</v>
      </c>
      <c r="D38" s="10" t="s">
        <v>91</v>
      </c>
      <c r="E38" s="8" t="n">
        <v>2</v>
      </c>
      <c r="F38" s="8" t="s">
        <v>139</v>
      </c>
      <c r="G38" s="9" t="s">
        <v>140</v>
      </c>
    </row>
    <row r="39" customFormat="false" ht="15" hidden="false" customHeight="true" outlineLevel="0" collapsed="false">
      <c r="B39" s="8" t="n">
        <v>30</v>
      </c>
      <c r="C39" s="9" t="s">
        <v>141</v>
      </c>
      <c r="D39" s="17" t="s">
        <v>108</v>
      </c>
      <c r="E39" s="8" t="n">
        <v>4</v>
      </c>
      <c r="F39" s="8" t="s">
        <v>142</v>
      </c>
      <c r="G39" s="9" t="s">
        <v>143</v>
      </c>
    </row>
  </sheetData>
  <mergeCells count="6">
    <mergeCell ref="B2:G2"/>
    <mergeCell ref="B3:G3"/>
    <mergeCell ref="B6:G6"/>
    <mergeCell ref="B17:G17"/>
    <mergeCell ref="B24:G24"/>
    <mergeCell ref="B33:G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B2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6" min="3" style="1" width="14"/>
  </cols>
  <sheetData>
    <row r="2" customFormat="false" ht="19.5" hidden="false" customHeight="true" outlineLevel="0" collapsed="false">
      <c r="B2" s="2" t="s">
        <v>144</v>
      </c>
      <c r="C2" s="2"/>
      <c r="D2" s="2"/>
      <c r="E2" s="2"/>
      <c r="F2" s="2"/>
    </row>
    <row r="4" customFormat="false" ht="15" hidden="false" customHeight="true" outlineLevel="0" collapsed="false">
      <c r="B4" s="5" t="s">
        <v>145</v>
      </c>
      <c r="C4" s="5" t="s">
        <v>146</v>
      </c>
      <c r="D4" s="5" t="s">
        <v>147</v>
      </c>
      <c r="E4" s="5" t="s">
        <v>148</v>
      </c>
      <c r="F4" s="5" t="s">
        <v>149</v>
      </c>
    </row>
    <row r="5" customFormat="false" ht="15" hidden="false" customHeight="true" outlineLevel="0" collapsed="false">
      <c r="B5" s="9" t="s">
        <v>150</v>
      </c>
      <c r="C5" s="8" t="n">
        <v>7</v>
      </c>
      <c r="D5" s="8" t="n">
        <v>0</v>
      </c>
      <c r="E5" s="8" t="n">
        <v>0</v>
      </c>
      <c r="F5" s="11" t="n">
        <f aca="false">SUM(C5:E5)</f>
        <v>7</v>
      </c>
    </row>
    <row r="6" customFormat="false" ht="15" hidden="false" customHeight="true" outlineLevel="0" collapsed="false">
      <c r="B6" s="9" t="s">
        <v>151</v>
      </c>
      <c r="C6" s="8" t="n">
        <v>0</v>
      </c>
      <c r="D6" s="8" t="n">
        <v>12</v>
      </c>
      <c r="E6" s="8" t="n">
        <v>50</v>
      </c>
      <c r="F6" s="11" t="n">
        <f aca="false">SUM(C6:E6)</f>
        <v>62</v>
      </c>
    </row>
    <row r="7" customFormat="false" ht="15" hidden="false" customHeight="true" outlineLevel="0" collapsed="false">
      <c r="B7" s="9" t="s">
        <v>152</v>
      </c>
      <c r="C7" s="8" t="n">
        <v>5</v>
      </c>
      <c r="D7" s="8" t="n">
        <v>0</v>
      </c>
      <c r="E7" s="8" t="n">
        <v>0</v>
      </c>
      <c r="F7" s="11" t="n">
        <f aca="false">SUM(C7:E7)</f>
        <v>5</v>
      </c>
    </row>
    <row r="8" customFormat="false" ht="15" hidden="false" customHeight="true" outlineLevel="0" collapsed="false">
      <c r="B8" s="9" t="s">
        <v>153</v>
      </c>
      <c r="C8" s="8" t="n">
        <v>9</v>
      </c>
      <c r="D8" s="8" t="n">
        <v>5</v>
      </c>
      <c r="E8" s="8" t="n">
        <v>4</v>
      </c>
      <c r="F8" s="11" t="n">
        <f aca="false">SUM(C8:E8)</f>
        <v>18</v>
      </c>
    </row>
    <row r="9" customFormat="false" ht="15" hidden="false" customHeight="true" outlineLevel="0" collapsed="false">
      <c r="B9" s="9" t="s">
        <v>154</v>
      </c>
      <c r="C9" s="8" t="n">
        <v>0</v>
      </c>
      <c r="D9" s="8" t="n">
        <v>0</v>
      </c>
      <c r="E9" s="8" t="n">
        <v>10</v>
      </c>
      <c r="F9" s="11" t="n">
        <f aca="false">SUM(C9:E9)</f>
        <v>10</v>
      </c>
    </row>
    <row r="10" customFormat="false" ht="15" hidden="false" customHeight="true" outlineLevel="0" collapsed="false">
      <c r="B10" s="18" t="s">
        <v>155</v>
      </c>
      <c r="C10" s="19" t="n">
        <f aca="false">SUM(C5:C9)</f>
        <v>21</v>
      </c>
      <c r="D10" s="19" t="n">
        <f aca="false">SUM(D5:D9)</f>
        <v>17</v>
      </c>
      <c r="E10" s="19" t="n">
        <f aca="false">SUM(E5:E9)</f>
        <v>64</v>
      </c>
      <c r="F10" s="19" t="n">
        <f aca="false">SUM(C10:E10)</f>
        <v>102</v>
      </c>
    </row>
    <row r="12" customFormat="false" ht="15.75" hidden="false" customHeight="true" outlineLevel="0" collapsed="false">
      <c r="B12" s="4" t="s">
        <v>156</v>
      </c>
      <c r="C12" s="4"/>
      <c r="D12" s="4"/>
      <c r="E12" s="4"/>
      <c r="F12" s="4"/>
    </row>
    <row r="13" customFormat="false" ht="15" hidden="false" customHeight="true" outlineLevel="0" collapsed="false">
      <c r="B13" s="20" t="s">
        <v>157</v>
      </c>
      <c r="C13" s="20"/>
      <c r="D13" s="20"/>
      <c r="E13" s="20"/>
      <c r="F13" s="20"/>
    </row>
    <row r="14" customFormat="false" ht="15" hidden="false" customHeight="true" outlineLevel="0" collapsed="false">
      <c r="B14" s="21" t="s">
        <v>158</v>
      </c>
      <c r="C14" s="21"/>
      <c r="D14" s="21"/>
      <c r="E14" s="21"/>
      <c r="F14" s="21"/>
    </row>
    <row r="15" customFormat="false" ht="15" hidden="false" customHeight="true" outlineLevel="0" collapsed="false">
      <c r="B15" s="3" t="s">
        <v>159</v>
      </c>
      <c r="C15" s="3"/>
      <c r="D15" s="3"/>
      <c r="E15" s="3"/>
      <c r="F15" s="3"/>
    </row>
  </sheetData>
  <mergeCells count="5">
    <mergeCell ref="B2:F2"/>
    <mergeCell ref="B12:F12"/>
    <mergeCell ref="B13:F13"/>
    <mergeCell ref="B14:F14"/>
    <mergeCell ref="B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2026-03-13T19:58:19Z</dcterms:created>
  <dc:creator>openpyxl</dc:creator>
  <dc:description/>
  <dc:language>en-US</dc:language>
  <cp:lastModifiedBy/>
  <dcterms:modified xsi:type="dcterms:W3CDTF">2026-03-16T04:08:27Z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