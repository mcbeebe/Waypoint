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rint Plan" sheetId="1" state="visible" r:id="rId3"/>
    <sheet name="QA-QC Matrix" sheetId="2" state="visible" r:id="rId4"/>
    <sheet name="Timeline" sheetId="3" state="visible" r:id="rId5"/>
    <sheet name="Dependencies" sheetId="4" state="visible" r:id="rId6"/>
    <sheet name="Hours 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<sst xmlns="http://schemas.openxmlformats.org/spreadsheetml/2006/main" count="752" uniqueCount="396">
  <si>
    <t xml:space="preserve">Waypoint GTM IT Project Plan — Software Development Sprints</t>
  </si>
  <si>
    <t xml:space="preserve">March 16 — June 8, 2026 | Solo Developer | GAS → Native Migration</t>
  </si>
  <si>
    <t xml:space="preserve">ID</t>
  </si>
  <si>
    <t xml:space="preserve">Task</t>
  </si>
  <si>
    <t xml:space="preserve">Owner</t>
  </si>
  <si>
    <t xml:space="preserve">Est Hours</t>
  </si>
  <si>
    <t xml:space="preserve">Dependencies</t>
  </si>
  <si>
    <t xml:space="preserve">Sprint / Week</t>
  </si>
  <si>
    <t xml:space="preserve">Status</t>
  </si>
  <si>
    <t xml:space="preserve">QA Type</t>
  </si>
  <si>
    <t xml:space="preserve">Notes</t>
  </si>
  <si>
    <t xml:space="preserve">SPRINT 1: Auth + Onboarding (COMPLETE — Mar 12, 2026)</t>
  </si>
  <si>
    <t xml:space="preserve">S1-01</t>
  </si>
  <si>
    <t xml:space="preserve">Expo 52 / React Native 0.76 project scaffold</t>
  </si>
  <si>
    <t xml:space="preserve">Mike</t>
  </si>
  <si>
    <t xml:space="preserve">—</t>
  </si>
  <si>
    <t xml:space="preserve">S1 / W0</t>
  </si>
  <si>
    <t xml:space="preserve">Complete</t>
  </si>
  <si>
    <t xml:space="preserve">TypeScript strict mode, ESLint</t>
  </si>
  <si>
    <t xml:space="preserve">S1-02</t>
  </si>
  <si>
    <t xml:space="preserve">Supabase project setup (13 tables + pgvector)</t>
  </si>
  <si>
    <t xml:space="preserve">West US region, Nano tier</t>
  </si>
  <si>
    <t xml:space="preserve">S1-03</t>
  </si>
  <si>
    <t xml:space="preserve">Apple Sign-In implementation</t>
  </si>
  <si>
    <t xml:space="preserve">Unit</t>
  </si>
  <si>
    <t xml:space="preserve">expo-apple-authentication</t>
  </si>
  <si>
    <t xml:space="preserve">S1-04</t>
  </si>
  <si>
    <t xml:space="preserve">Google Sign-In (Calendar/Gmail scopes)</t>
  </si>
  <si>
    <t xml:space="preserve">Scopes ready for Sprint 4-5</t>
  </si>
  <si>
    <t xml:space="preserve">S1-05</t>
  </si>
  <si>
    <t xml:space="preserve">6-step onboarding flow</t>
  </si>
  <si>
    <t xml:space="preserve">S1-02,S1-03</t>
  </si>
  <si>
    <t xml:space="preserve">Integration</t>
  </si>
  <si>
    <t xml:space="preserve">Saves to Supabase families/children/diagnoses</t>
  </si>
  <si>
    <t xml:space="preserve">S1-06</t>
  </si>
  <si>
    <t xml:space="preserve">Bottom tab navigator (5 tabs)</t>
  </si>
  <si>
    <t xml:space="preserve">Home, Navigator, Actions, Calendar, Profile</t>
  </si>
  <si>
    <t xml:space="preserve">S1-07</t>
  </si>
  <si>
    <t xml:space="preserve">Home dashboard with greeting + quick actions</t>
  </si>
  <si>
    <t xml:space="preserve">Child age badge, empathy messages</t>
  </si>
  <si>
    <t xml:space="preserve">S1-08</t>
  </si>
  <si>
    <t xml:space="preserve">Profile screen with diagnosis management</t>
  </si>
  <si>
    <t xml:space="preserve">Multi-select, RC/IEP/insurance settings</t>
  </si>
  <si>
    <t xml:space="preserve">S1-09</t>
  </si>
  <si>
    <t xml:space="preserve">Design tokens (theme.ts)</t>
  </si>
  <si>
    <t xml:space="preserve">Navy, teal, coral, sage palette</t>
  </si>
  <si>
    <t xml:space="preserve">S1-10</t>
  </si>
  <si>
    <t xml:space="preserve">Apple Developer enrollment ($99)</t>
  </si>
  <si>
    <t xml:space="preserve">Activation pending (48 hrs)</t>
  </si>
  <si>
    <t xml:space="preserve">SPRINT 2: AI Navigator + RAG (Weeks 1–2: Mar 16–29)</t>
  </si>
  <si>
    <t xml:space="preserve">S2-01</t>
  </si>
  <si>
    <t xml:space="preserve">Embed 25 KB articles into Supabase pgvector</t>
  </si>
  <si>
    <t xml:space="preserve">S2 / W1</t>
  </si>
  <si>
    <t xml:space="preserve">Not Started</t>
  </si>
  <si>
    <t xml:space="preserve">1536-dim embeddings, IVFFlat index</t>
  </si>
  <si>
    <t xml:space="preserve">S2-02</t>
  </si>
  <si>
    <t xml:space="preserve">RAG retrieval pipeline (similarity search → context)</t>
  </si>
  <si>
    <t xml:space="preserve">Top-k retrieval, relevance threshold</t>
  </si>
  <si>
    <t xml:space="preserve">S2-03</t>
  </si>
  <si>
    <t xml:space="preserve">Chat UI with streaming responses</t>
  </si>
  <si>
    <t xml:space="preserve">Keyboard handling, scroll-to-bottom</t>
  </si>
  <si>
    <t xml:space="preserve">S2-04</t>
  </si>
  <si>
    <t xml:space="preserve">Port tone calibration (collaborative/assertive/adversarial)</t>
  </si>
  <si>
    <t xml:space="preserve">Haiku classifier from GAS Code.gs</t>
  </si>
  <si>
    <t xml:space="preserve">S2-05</t>
  </si>
  <si>
    <t xml:space="preserve">Category-specific system prompts (7 categories)</t>
  </si>
  <si>
    <t xml:space="preserve">S2 / W1-2</t>
  </si>
  <si>
    <t xml:space="preserve">RC, IEP, Benefits, Insurance, Rights, Nav, Transitions</t>
  </si>
  <si>
    <t xml:space="preserve">S2-06</t>
  </si>
  <si>
    <t xml:space="preserve">Response card formatting (empathy, steps, rights, sources)</t>
  </si>
  <si>
    <t xml:space="preserve">S2 / W2</t>
  </si>
  <si>
    <t xml:space="preserve">Match GAS MVP response quality</t>
  </si>
  <si>
    <t xml:space="preserve">S2-07</t>
  </si>
  <si>
    <t xml:space="preserve">Conversation history (last 6 messages context)</t>
  </si>
  <si>
    <t xml:space="preserve">Supabase chat_sessions + chat_messages</t>
  </si>
  <si>
    <t xml:space="preserve">S2-08</t>
  </si>
  <si>
    <t xml:space="preserve">Save-from-chat to action plan</t>
  </si>
  <si>
    <t xml:space="preserve">User can save any action step</t>
  </si>
  <si>
    <t xml:space="preserve">S2-09</t>
  </si>
  <si>
    <t xml:space="preserve">Prompt caching for Claude API (cost optimization)</t>
  </si>
  <si>
    <t xml:space="preserve">Verify cache hit rates</t>
  </si>
  <si>
    <t xml:space="preserve">S2-10</t>
  </si>
  <si>
    <t xml:space="preserve">SPRINT 2 QA GATE: 100 test queries across 7 categories</t>
  </si>
  <si>
    <t xml:space="preserve">S2-01..S2-09</t>
  </si>
  <si>
    <t xml:space="preserve">QA Gate</t>
  </si>
  <si>
    <t xml:space="preserve">Tone accuracy, RAG relevance, response quality scoring</t>
  </si>
  <si>
    <t xml:space="preserve">SPRINT 3: Action Plans + Tracker (Weeks 3–4: Mar 30–Apr 12)</t>
  </si>
  <si>
    <t xml:space="preserve">S3-01</t>
  </si>
  <si>
    <t xml:space="preserve">Action list UI with status management</t>
  </si>
  <si>
    <t xml:space="preserve">S3 / W3</t>
  </si>
  <si>
    <t xml:space="preserve">Not started / In progress / Complete / Dismissed</t>
  </si>
  <si>
    <t xml:space="preserve">S3-02</t>
  </si>
  <si>
    <t xml:space="preserve">Progress dashboard with completion rings</t>
  </si>
  <si>
    <t xml:space="preserve">Port from GAS MVP dashboard</t>
  </si>
  <si>
    <t xml:space="preserve">S3-03</t>
  </si>
  <si>
    <t xml:space="preserve">Action detail view (scripts, timelines, KB links)</t>
  </si>
  <si>
    <t xml:space="preserve">Deep link to relevant KB articles</t>
  </si>
  <si>
    <t xml:space="preserve">S3-04</t>
  </si>
  <si>
    <t xml:space="preserve">Server-side action persistence (Supabase)</t>
  </si>
  <si>
    <t xml:space="preserve">CRUD with optimistic updates</t>
  </si>
  <si>
    <t xml:space="preserve">S3-05</t>
  </si>
  <si>
    <t xml:space="preserve">Follow-up reminders and deadline tracking</t>
  </si>
  <si>
    <t xml:space="preserve">S3 / W4</t>
  </si>
  <si>
    <t xml:space="preserve">Local push notifications</t>
  </si>
  <si>
    <t xml:space="preserve">S3-06</t>
  </si>
  <si>
    <t xml:space="preserve">Offline action state handling</t>
  </si>
  <si>
    <t xml:space="preserve">Queue changes, sync on reconnect</t>
  </si>
  <si>
    <t xml:space="preserve">S3-07</t>
  </si>
  <si>
    <t xml:space="preserve">Action analytics (completion rates, avg time)</t>
  </si>
  <si>
    <t xml:space="preserve">For internal metrics + RC reporting</t>
  </si>
  <si>
    <t xml:space="preserve">S3-08</t>
  </si>
  <si>
    <t xml:space="preserve">SPRINT 3 QA GATE: CRUD + offline + sync verification</t>
  </si>
  <si>
    <t xml:space="preserve">S3-01..S3-07</t>
  </si>
  <si>
    <t xml:space="preserve">Data integrity checks, offline/online toggle tests</t>
  </si>
  <si>
    <t xml:space="preserve">SPRINT 4: Calendar + Deadline Engine (Weeks 5–6: Apr 13–26)</t>
  </si>
  <si>
    <t xml:space="preserve">S4-01</t>
  </si>
  <si>
    <t xml:space="preserve">Google Calendar API integration (read/write)</t>
  </si>
  <si>
    <t xml:space="preserve">S4 / W5</t>
  </si>
  <si>
    <t xml:space="preserve">OAuth tokens from Sprint 1 Google Sign-In</t>
  </si>
  <si>
    <t xml:space="preserve">S4-02</t>
  </si>
  <si>
    <t xml:space="preserve">Two-way calendar sync engine</t>
  </si>
  <si>
    <t xml:space="preserve">Conflict resolution strategy</t>
  </si>
  <si>
    <t xml:space="preserve">S4-03</t>
  </si>
  <si>
    <t xml:space="preserve">Deadline engine: IEP reviews, appeals, SSI, authorizations</t>
  </si>
  <si>
    <t xml:space="preserve">S4 / W5-6</t>
  </si>
  <si>
    <t xml:space="preserve">Auto-calculate from child profile dates</t>
  </si>
  <si>
    <t xml:space="preserve">S4-04</t>
  </si>
  <si>
    <t xml:space="preserve">Push notifications for upcoming deadlines</t>
  </si>
  <si>
    <t xml:space="preserve">S4 / W6</t>
  </si>
  <si>
    <t xml:space="preserve">Expo notifications, 7-day and 1-day alerts</t>
  </si>
  <si>
    <t xml:space="preserve">S4-05</t>
  </si>
  <si>
    <t xml:space="preserve">Calendar view UI (monthly/weekly, appointment types)</t>
  </si>
  <si>
    <t xml:space="preserve">Therapy, evaluations, hearings, deadlines</t>
  </si>
  <si>
    <t xml:space="preserve">S4-06</t>
  </si>
  <si>
    <t xml:space="preserve">Appointment management (CRUD, status tracking)</t>
  </si>
  <si>
    <t xml:space="preserve">Scheduled/completed/cancelled/no-show</t>
  </si>
  <si>
    <t xml:space="preserve">S4-07</t>
  </si>
  <si>
    <t xml:space="preserve">SPRINT 4 QA GATE: Calendar sync + notification delivery</t>
  </si>
  <si>
    <t xml:space="preserve">S4-01..S4-06</t>
  </si>
  <si>
    <t xml:space="preserve">Timezone handling, sync accuracy, notification timing</t>
  </si>
  <si>
    <t xml:space="preserve">SPRINT 5: Document Vault + Email (Weeks 7–8: Apr 27–May 10)</t>
  </si>
  <si>
    <t xml:space="preserve">S5-01</t>
  </si>
  <si>
    <t xml:space="preserve">Document upload and storage (Supabase Storage)</t>
  </si>
  <si>
    <t xml:space="preserve">S5 / W7</t>
  </si>
  <si>
    <t xml:space="preserve">IEPs, evaluations, denials, appeals, medical, IPPs</t>
  </si>
  <si>
    <t xml:space="preserve">S5-02</t>
  </si>
  <si>
    <t xml:space="preserve">Document categorization and metadata</t>
  </si>
  <si>
    <t xml:space="preserve">Auto-detect type from filename/content</t>
  </si>
  <si>
    <t xml:space="preserve">S5-03</t>
  </si>
  <si>
    <t xml:space="preserve">Document viewer with annotation support</t>
  </si>
  <si>
    <t xml:space="preserve">PDF/image viewer, highlight + notes</t>
  </si>
  <si>
    <t xml:space="preserve">S5-04</t>
  </si>
  <si>
    <t xml:space="preserve">Email draft generation from chat context</t>
  </si>
  <si>
    <t xml:space="preserve">S5 / W7-8</t>
  </si>
  <si>
    <t xml:space="preserve">Port templates from GAS Code.gs</t>
  </si>
  <si>
    <t xml:space="preserve">S5-05</t>
  </si>
  <si>
    <t xml:space="preserve">Gmail API integration for sending drafts</t>
  </si>
  <si>
    <t xml:space="preserve">S5 / W8</t>
  </si>
  <si>
    <t xml:space="preserve">S5-06</t>
  </si>
  <si>
    <t xml:space="preserve">Email analyzer: AI review of incoming emails</t>
  </si>
  <si>
    <t xml:space="preserve">Schools, RCs, insurance correspondence</t>
  </si>
  <si>
    <t xml:space="preserve">S5-07</t>
  </si>
  <si>
    <t xml:space="preserve">SPRINT 5 QA GATE: Upload/download integrity + email accuracy</t>
  </si>
  <si>
    <t xml:space="preserve">S5-01..S5-06</t>
  </si>
  <si>
    <t xml:space="preserve">File corruption checks, email template accuracy, attachment handling</t>
  </si>
  <si>
    <t xml:space="preserve">SPRINT 6: KB + i18n + Polish (Weeks 9–10: May 11–24)</t>
  </si>
  <si>
    <t xml:space="preserve">S6-01</t>
  </si>
  <si>
    <t xml:space="preserve">Browse KB articles natively (article list + detail view)</t>
  </si>
  <si>
    <t xml:space="preserve">S6 / W9</t>
  </si>
  <si>
    <t xml:space="preserve">25 articles across 7 categories</t>
  </si>
  <si>
    <t xml:space="preserve">S6-02</t>
  </si>
  <si>
    <t xml:space="preserve">Entity Navigation Matrix as interactive guide</t>
  </si>
  <si>
    <t xml:space="preserve">Journey Map screen from GAS MVP</t>
  </si>
  <si>
    <t xml:space="preserve">S6-03</t>
  </si>
  <si>
    <t xml:space="preserve">Spanish (ES) translations via react-i18next</t>
  </si>
  <si>
    <t xml:space="preserve">S6 / W9-10</t>
  </si>
  <si>
    <t xml:space="preserve">All UI strings + KB article summaries</t>
  </si>
  <si>
    <t xml:space="preserve">S6-04</t>
  </si>
  <si>
    <t xml:space="preserve">Vietnamese (VI) translations via react-i18next</t>
  </si>
  <si>
    <t xml:space="preserve">S6 / W10</t>
  </si>
  <si>
    <t xml:space="preserve">S6-05</t>
  </si>
  <si>
    <t xml:space="preserve">Accessibility audit (VoiceOver, Dynamic Type, contrast)</t>
  </si>
  <si>
    <t xml:space="preserve">QA</t>
  </si>
  <si>
    <t xml:space="preserve">WCAG 2.1 AA compliance</t>
  </si>
  <si>
    <t xml:space="preserve">S6-06</t>
  </si>
  <si>
    <t xml:space="preserve">Performance optimization (bundle size, cold start, memory)</t>
  </si>
  <si>
    <t xml:space="preserve">Target: &lt;3s cold start, &lt;50MB bundle</t>
  </si>
  <si>
    <t xml:space="preserve">S6-07</t>
  </si>
  <si>
    <t xml:space="preserve">Feedback system (thumbs up/down on AI responses)</t>
  </si>
  <si>
    <t xml:space="preserve">Port from GAS MVP</t>
  </si>
  <si>
    <t xml:space="preserve">S6-08</t>
  </si>
  <si>
    <t xml:space="preserve">SPRINT 6 QA GATE: i18n completeness + accessibility pass</t>
  </si>
  <si>
    <t xml:space="preserve">S6-01..S6-07</t>
  </si>
  <si>
    <t xml:space="preserve">100% string coverage ES/VI, VoiceOver walkthrough, contrast ratios</t>
  </si>
  <si>
    <t xml:space="preserve">SPRINT 7: App Store Prep + Submission (Weeks 11–12: May 25–Jun 8)</t>
  </si>
  <si>
    <t xml:space="preserve">S7-01</t>
  </si>
  <si>
    <t xml:space="preserve">AI Consent Modal (Apple Rule 5.1.2(i))</t>
  </si>
  <si>
    <t xml:space="preserve">S7 / W11</t>
  </si>
  <si>
    <t xml:space="preserve">Names Anthropic, lists all data types sent</t>
  </si>
  <si>
    <t xml:space="preserve">S7-02</t>
  </si>
  <si>
    <t xml:space="preserve">RevenueCat integration (subscription management)</t>
  </si>
  <si>
    <t xml:space="preserve">Free tier + $10/mo RC-reimbursed tier</t>
  </si>
  <si>
    <t xml:space="preserve">S7-03</t>
  </si>
  <si>
    <t xml:space="preserve">App Store screenshots (6.7", 6.5", 5.5")</t>
  </si>
  <si>
    <t xml:space="preserve">5+ screenshots per device size</t>
  </si>
  <si>
    <t xml:space="preserve">S7-04</t>
  </si>
  <si>
    <t xml:space="preserve">App Store metadata (description, keywords, categories)</t>
  </si>
  <si>
    <t xml:space="preserve">ASO-optimized</t>
  </si>
  <si>
    <t xml:space="preserve">S7-05</t>
  </si>
  <si>
    <t xml:space="preserve">App Privacy Nutrition Labels (Apple questionnaire)</t>
  </si>
  <si>
    <t xml:space="preserve">Data types collected + usage</t>
  </si>
  <si>
    <t xml:space="preserve">S7-06</t>
  </si>
  <si>
    <t xml:space="preserve">EAS Build: production profile + code signing</t>
  </si>
  <si>
    <t xml:space="preserve">Provisioning profiles, certificates</t>
  </si>
  <si>
    <t xml:space="preserve">S7-07</t>
  </si>
  <si>
    <t xml:space="preserve">Sentry crash reporting integration</t>
  </si>
  <si>
    <t xml:space="preserve">Error tracking + performance monitoring</t>
  </si>
  <si>
    <t xml:space="preserve">S7-08</t>
  </si>
  <si>
    <t xml:space="preserve">TestFlight beta distribution (15 users, 5 days min)</t>
  </si>
  <si>
    <t xml:space="preserve">S7 / W11-12</t>
  </si>
  <si>
    <t xml:space="preserve">Beta UAT</t>
  </si>
  <si>
    <t xml:space="preserve">Recruit from beta waitlist</t>
  </si>
  <si>
    <t xml:space="preserve">S7-09</t>
  </si>
  <si>
    <t xml:space="preserve">Full regression test suite</t>
  </si>
  <si>
    <t xml:space="preserve">S7 / W12</t>
  </si>
  <si>
    <t xml:space="preserve">All features, all screens, all languages</t>
  </si>
  <si>
    <t xml:space="preserve">S7-10</t>
  </si>
  <si>
    <t xml:space="preserve">Apple guideline compliance checklist</t>
  </si>
  <si>
    <t xml:space="preserve">S7-01..S7-05</t>
  </si>
  <si>
    <t xml:space="preserve">Review against HIG + App Store Review Guidelines</t>
  </si>
  <si>
    <t xml:space="preserve">S7-11</t>
  </si>
  <si>
    <t xml:space="preserve">Submit to App Store Connect</t>
  </si>
  <si>
    <t xml:space="preserve">S7-09,S7-10</t>
  </si>
  <si>
    <t xml:space="preserve">Target: June 8, 2026</t>
  </si>
  <si>
    <t xml:space="preserve">S7-12</t>
  </si>
  <si>
    <t xml:space="preserve">SPRINT 7 QA GATE: Crash-free &gt;99.5%, 0 P0 bugs</t>
  </si>
  <si>
    <t xml:space="preserve">S7-01..S7-11</t>
  </si>
  <si>
    <t xml:space="preserve">Final sign-off before submission</t>
  </si>
  <si>
    <t xml:space="preserve">TOTALS</t>
  </si>
  <si>
    <t xml:space="preserve">QA/QC Verification Matrix</t>
  </si>
  <si>
    <t xml:space="preserve">Sprint</t>
  </si>
  <si>
    <t xml:space="preserve">Test Type</t>
  </si>
  <si>
    <t xml:space="preserve">Pass Criteria</t>
  </si>
  <si>
    <t xml:space="preserve">Test Count</t>
  </si>
  <si>
    <t xml:space="preserve">Sign-off Date</t>
  </si>
  <si>
    <t xml:space="preserve">Sprint 2</t>
  </si>
  <si>
    <t xml:space="preserve">AI Navigator Quality</t>
  </si>
  <si>
    <t xml:space="preserve">Functional</t>
  </si>
  <si>
    <t xml:space="preserve">100 test queries return relevant, accurate responses</t>
  </si>
  <si>
    <t xml:space="preserve">RAG Relevance Scoring</t>
  </si>
  <si>
    <t xml:space="preserve">Performance</t>
  </si>
  <si>
    <t xml:space="preserve">Top-3 retrieval accuracy &gt; 85% across all categories</t>
  </si>
  <si>
    <t xml:space="preserve">Tone Calibration</t>
  </si>
  <si>
    <t xml:space="preserve">Correct tone applied in &gt;90% of classified messages</t>
  </si>
  <si>
    <t xml:space="preserve">Sprint 3</t>
  </si>
  <si>
    <t xml:space="preserve">Action CRUD Operations</t>
  </si>
  <si>
    <t xml:space="preserve">All status transitions work; data persists across sessions</t>
  </si>
  <si>
    <t xml:space="preserve">Offline/Online Sync</t>
  </si>
  <si>
    <t xml:space="preserve">Actions queued offline sync correctly when reconnected</t>
  </si>
  <si>
    <t xml:space="preserve">Data Integrity</t>
  </si>
  <si>
    <t xml:space="preserve">Regression</t>
  </si>
  <si>
    <t xml:space="preserve">No data loss during create/update/delete cycles</t>
  </si>
  <si>
    <t xml:space="preserve">Sprint 4</t>
  </si>
  <si>
    <t xml:space="preserve">Calendar Sync Accuracy</t>
  </si>
  <si>
    <t xml:space="preserve">Events created in app appear in Google Calendar within 30s</t>
  </si>
  <si>
    <t xml:space="preserve">Notification Delivery</t>
  </si>
  <si>
    <t xml:space="preserve">Deadline alerts fire at correct times (7d and 1d before)</t>
  </si>
  <si>
    <t xml:space="preserve">Timezone Handling</t>
  </si>
  <si>
    <t xml:space="preserve">Edge Case</t>
  </si>
  <si>
    <t xml:space="preserve">Correct behavior across PST/PDT transitions</t>
  </si>
  <si>
    <t xml:space="preserve">Sprint 5</t>
  </si>
  <si>
    <t xml:space="preserve">File Upload/Download</t>
  </si>
  <si>
    <t xml:space="preserve">Files up to 10MB upload and download without corruption</t>
  </si>
  <si>
    <t xml:space="preserve">Email Draft Accuracy</t>
  </si>
  <si>
    <t xml:space="preserve">Generated emails match tone and include correct recipient/subject</t>
  </si>
  <si>
    <t xml:space="preserve">Attachment Handling</t>
  </si>
  <si>
    <t xml:space="preserve">Documents attach to emails correctly via Gmail API</t>
  </si>
  <si>
    <t xml:space="preserve">Sprint 6</t>
  </si>
  <si>
    <t xml:space="preserve">i18n String Coverage</t>
  </si>
  <si>
    <t xml:space="preserve">Completeness</t>
  </si>
  <si>
    <t xml:space="preserve">100% of UI strings translated for ES and VI</t>
  </si>
  <si>
    <t xml:space="preserve">Accessibility (WCAG 2.1 AA)</t>
  </si>
  <si>
    <t xml:space="preserve">Compliance</t>
  </si>
  <si>
    <t xml:space="preserve">All screens pass VoiceOver walkthrough + contrast checks</t>
  </si>
  <si>
    <t xml:space="preserve">Performance Benchmarks</t>
  </si>
  <si>
    <t xml:space="preserve">&lt;3s cold start, &lt;50MB bundle, &lt;100MB memory</t>
  </si>
  <si>
    <t xml:space="preserve">Sprint 7</t>
  </si>
  <si>
    <t xml:space="preserve">TestFlight Beta (15 users)</t>
  </si>
  <si>
    <t xml:space="preserve">No P0 bugs; NPS &gt; 30; crash-free &gt; 99.5%</t>
  </si>
  <si>
    <t xml:space="preserve">Apple Guideline Compliance</t>
  </si>
  <si>
    <t xml:space="preserve">Pass all items on Apple HIG + App Store Review checklist</t>
  </si>
  <si>
    <t xml:space="preserve">Full Regression Suite</t>
  </si>
  <si>
    <t xml:space="preserve">All features, screens, and languages pass end-to-end</t>
  </si>
  <si>
    <t xml:space="preserve">Security Review</t>
  </si>
  <si>
    <t xml:space="preserve">Security</t>
  </si>
  <si>
    <t xml:space="preserve">No hardcoded secrets, HTTPS everywhere, auth token handling</t>
  </si>
  <si>
    <t xml:space="preserve">12-Week Sprint Timeline</t>
  </si>
  <si>
    <t xml:space="preserve">Milestone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</si>
  <si>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</si>
  <si>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</si>
  <si>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</si>
  <si>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</si>
  <si>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</si>
  <si>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</si>
  <si>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</si>
  <si>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</si>
  <si>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</si>
  <si>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</si>
  <si>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</si>
  <si>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</si>
  <si>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</si>
  <si>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</si>
  <si>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</si>
  <si>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</si>
  <si>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</si>
  <si>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</si>
  <si>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</si>
  <si>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</si>
  <si>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</si>
  <si>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</si>
  <si>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</si>
  <si>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</si>
  <si>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SOFTWARE</t>
  </si>
  <si>
    <t xml:space="preserve">Sprint 2: AI Navigator + RAG</t>
  </si>
  <si>
    <t xml:space="preserve">Sprint 3: Action Plans + Tracker</t>
  </si>
  <si>
    <t xml:space="preserve">Sprint 4: Calendar + Deadlines</t>
  </si>
  <si>
    <t xml:space="preserve">Sprint 5: Document Vault + Email</t>
  </si>
  <si>
    <t xml:space="preserve">Sprint 6: KB + i18n + Polish</t>
  </si>
  <si>
    <t xml:space="preserve">Sprint 7: App Store Prep + Submit</t>
  </si>
  <si>
    <t xml:space="preserve">MARKETING</t>
  </si>
  <si>
    <t xml:space="preserve">Brand guidelines</t>
  </si>
  <si>
    <t xml:space="preserve">Landing page v1</t>
  </si>
  <si>
    <t xml:space="preserve">Content marketing begins</t>
  </si>
  <si>
    <t xml:space="preserve">Beta recruitment (15 users)</t>
  </si>
  <si>
    <t xml:space="preserve">Beta testing + feedback</t>
  </si>
  <si>
    <t xml:space="preserve">Launch assets + ASO</t>
  </si>
  <si>
    <t xml:space="preserve">LEGAL &amp; COMPLIANCE</t>
  </si>
  <si>
    <t xml:space="preserve">Apple Dev activation</t>
  </si>
  <si>
    <t xml:space="preserve">Privacy Policy + ToS draft</t>
  </si>
  <si>
    <t xml:space="preserve">Attorney review</t>
  </si>
  <si>
    <t xml:space="preserve">Publish legal pages</t>
  </si>
  <si>
    <t xml:space="preserve">Final compliance audit</t>
  </si>
  <si>
    <t xml:space="preserve">SALES (RC PARTNERSHIPS)</t>
  </si>
  <si>
    <t xml:space="preserve">Research target RCs + DDS registration</t>
  </si>
  <si>
    <t xml:space="preserve">Initial outreach (3–5 RC directors)</t>
  </si>
  <si>
    <t xml:space="preserve">Demo meetings (TestFlight build)</t>
  </si>
  <si>
    <t xml:space="preserve">Negotiate pilot terms</t>
  </si>
  <si>
    <t xml:space="preserve">Finalize pilot agreement (LOI)</t>
  </si>
  <si>
    <t xml:space="preserve">Onboard pilot RC staff</t>
  </si>
  <si>
    <t xml:space="preserve">Critical Dependencies &amp; Blockers</t>
  </si>
  <si>
    <t xml:space="preserve">Dependency</t>
  </si>
  <si>
    <t xml:space="preserve">Blocks</t>
  </si>
  <si>
    <t xml:space="preserve">Due Date</t>
  </si>
  <si>
    <t xml:space="preserve">Apple Developer activation (48 hrs)</t>
  </si>
  <si>
    <t xml:space="preserve">App ID, Sign-In capability, Team ID</t>
  </si>
  <si>
    <t xml:space="preserve">Mar 14</t>
  </si>
  <si>
    <t xml:space="preserve">Pending</t>
  </si>
  <si>
    <t xml:space="preserve">iOS OAuth Client ID (Google Cloud)</t>
  </si>
  <si>
    <t xml:space="preserve">Google Sign-In on device</t>
  </si>
  <si>
    <t xml:space="preserve">Mar 15</t>
  </si>
  <si>
    <t xml:space="preserve">Web OAuth Client ID (Google Cloud)</t>
  </si>
  <si>
    <t xml:space="preserve">Gmail/Calendar API calls</t>
  </si>
  <si>
    <t xml:space="preserve">npm dependency install</t>
  </si>
  <si>
    <t xml:space="preserve">All sprints</t>
  </si>
  <si>
    <t xml:space="preserve">Mar 16</t>
  </si>
  <si>
    <t xml:space="preserve">EAS Build dev profile</t>
  </si>
  <si>
    <t xml:space="preserve">On-device testing</t>
  </si>
  <si>
    <t xml:space="preserve">KB article embeddings (pgvector)</t>
  </si>
  <si>
    <t xml:space="preserve">Sprint 2 RAG pipeline</t>
  </si>
  <si>
    <t xml:space="preserve">Mar 22</t>
  </si>
  <si>
    <t xml:space="preserve">Privacy Policy + ToS (hosted URLs)</t>
  </si>
  <si>
    <t xml:space="preserve">App Store submission</t>
  </si>
  <si>
    <t xml:space="preserve">Apr 26</t>
  </si>
  <si>
    <t xml:space="preserve">DUNS number application</t>
  </si>
  <si>
    <t xml:space="preserve">App Store org account</t>
  </si>
  <si>
    <t xml:space="preserve">Apr 12</t>
  </si>
  <si>
    <t xml:space="preserve">Attorney engagement (legal review)</t>
  </si>
  <si>
    <t xml:space="preserve">Privacy Policy, ToS, AI disclaimer</t>
  </si>
  <si>
    <t xml:space="preserve">Apr 13</t>
  </si>
  <si>
    <t xml:space="preserve">RevenueCat account + setup</t>
  </si>
  <si>
    <t xml:space="preserve">Sprint 7 subscription mgmt</t>
  </si>
  <si>
    <t xml:space="preserve">May 18</t>
  </si>
  <si>
    <t xml:space="preserve">DDS Provider Directory registration</t>
  </si>
  <si>
    <t xml:space="preserve">RC vendorization</t>
  </si>
  <si>
    <t xml:space="preserve">Mar 29</t>
  </si>
  <si>
    <t xml:space="preserve">TestFlight beta testers (15)</t>
  </si>
  <si>
    <t xml:space="preserve">Sprint 7 beta UAT</t>
  </si>
  <si>
    <t xml:space="preserve">May 25</t>
  </si>
  <si>
    <t xml:space="preserve">Sprint Hours Summary</t>
  </si>
  <si>
    <t xml:space="preserve">Dev Hours</t>
  </si>
  <si>
    <t xml:space="preserve">QA Hours</t>
  </si>
  <si>
    <t xml:space="preserve">Total Hours</t>
  </si>
  <si>
    <t xml:space="preserve">Sprint 1: Auth + Onboarding (COMPLETE)</t>
  </si>
  <si>
    <t xml:space="preserve">TOTAL</t>
  </si>
  <si>
    <t xml:space="preserve">Weekly capacity (solo dev, ~40 hrs/week):</t>
  </si>
  <si>
    <t xml:space="preserve">Total weeks required: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</si>
</sst>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3A5C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1B3A5C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6E4F0"/>
        <bgColor rgb="FFE8DAEF"/>
      </patternFill>
    </fill>
    <fill>
      <patternFill patternType="solid">
        <fgColor rgb="FFFCE4EC"/>
        <bgColor rgb="FFF2F2F2"/>
      </patternFill>
    </fill>
    <fill>
      <patternFill patternType="solid">
        <fgColor rgb="FFE8DAEF"/>
        <bgColor rgb="FFD6E4F0"/>
      </patternFill>
    </fill>
    <fill>
      <patternFill patternType="solid">
        <fgColor rgb="FF2E75B6"/>
        <bgColor rgb="FF0066CC"/>
      </patternFill>
    </fill>
    <fill>
      <patternFill patternType="solid">
        <fgColor rgb="FF8B5CF6"/>
        <bgColor rgb="FF808080"/>
      </patternFill>
    </fill>
    <fill>
      <patternFill patternType="solid">
        <fgColor rgb="FFE67E22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B5CF6"/>
      <rgbColor rgb="FF993366"/>
      <rgbColor rgb="FFFFF2CC"/>
      <rgbColor rgb="FFD6E4F0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C"/>
      <rgbColor rgb="FF2E75B6"/>
      <rgbColor rgb="FF33CCCC"/>
      <rgbColor rgb="FF99CC00"/>
      <rgbColor rgb="FFFFCC00"/>
      <rgbColor rgb="FFFF9900"/>
      <rgbColor rgb="FFE67E22"/>
      <rgbColor rgb="FF666666"/>
      <rgbColor rgb="FF969696"/>
      <rgbColor rgb="FF1B3A5C"/>
      <rgbColor rgb="FF27AE60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35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true" outlineLevel="0" collapsed="false">
      <c r="A5" s="4" t="s">
        <v>11</v>
      </c>
      <c r="B5" s="4"/>
      <c r="C5" s="4"/>
      <c r="D5" s="4"/>
      <c r="E5" s="4"/>
      <c r="F5" s="4"/>
      <c r="G5" s="4"/>
      <c r="H5" s="4"/>
      <c r="I5" s="4"/>
    </row>
    <row r="6" customFormat="false" ht="15" hidden="false" customHeight="false" outlineLevel="0" collapsed="false">
      <c r="A6" s="5" t="s">
        <v>12</v>
      </c>
      <c r="B6" s="5" t="s">
        <v>13</v>
      </c>
      <c r="C6" s="5" t="s">
        <v>14</v>
      </c>
      <c r="D6" s="5" t="n">
        <v>4</v>
      </c>
      <c r="E6" s="5" t="s">
        <v>15</v>
      </c>
      <c r="F6" s="5" t="s">
        <v>16</v>
      </c>
      <c r="G6" s="6" t="s">
        <v>17</v>
      </c>
      <c r="H6" s="5" t="s">
        <v>15</v>
      </c>
      <c r="I6" s="5" t="s">
        <v>18</v>
      </c>
    </row>
    <row r="7" customFormat="false" ht="15" hidden="false" customHeight="false" outlineLevel="0" collapsed="false">
      <c r="A7" s="7" t="s">
        <v>19</v>
      </c>
      <c r="B7" s="7" t="s">
        <v>20</v>
      </c>
      <c r="C7" s="7" t="s">
        <v>14</v>
      </c>
      <c r="D7" s="7" t="n">
        <v>6</v>
      </c>
      <c r="E7" s="7" t="s">
        <v>15</v>
      </c>
      <c r="F7" s="7" t="s">
        <v>16</v>
      </c>
      <c r="G7" s="6" t="s">
        <v>17</v>
      </c>
      <c r="H7" s="7" t="s">
        <v>15</v>
      </c>
      <c r="I7" s="7" t="s">
        <v>21</v>
      </c>
    </row>
    <row r="8" customFormat="false" ht="15" hidden="false" customHeight="false" outlineLevel="0" collapsed="false">
      <c r="A8" s="5" t="s">
        <v>22</v>
      </c>
      <c r="B8" s="5" t="s">
        <v>23</v>
      </c>
      <c r="C8" s="5" t="s">
        <v>14</v>
      </c>
      <c r="D8" s="5" t="n">
        <v>4</v>
      </c>
      <c r="E8" s="5" t="s">
        <v>12</v>
      </c>
      <c r="F8" s="5" t="s">
        <v>16</v>
      </c>
      <c r="G8" s="6" t="s">
        <v>17</v>
      </c>
      <c r="H8" s="5" t="s">
        <v>24</v>
      </c>
      <c r="I8" s="5" t="s">
        <v>25</v>
      </c>
    </row>
    <row r="9" customFormat="false" ht="15" hidden="false" customHeight="false" outlineLevel="0" collapsed="false">
      <c r="A9" s="7" t="s">
        <v>26</v>
      </c>
      <c r="B9" s="7" t="s">
        <v>27</v>
      </c>
      <c r="C9" s="7" t="s">
        <v>14</v>
      </c>
      <c r="D9" s="7" t="n">
        <v>6</v>
      </c>
      <c r="E9" s="7" t="s">
        <v>12</v>
      </c>
      <c r="F9" s="7" t="s">
        <v>16</v>
      </c>
      <c r="G9" s="6" t="s">
        <v>17</v>
      </c>
      <c r="H9" s="7" t="s">
        <v>24</v>
      </c>
      <c r="I9" s="7" t="s">
        <v>28</v>
      </c>
    </row>
    <row r="10" customFormat="false" ht="23.85" hidden="false" customHeight="false" outlineLevel="0" collapsed="false">
      <c r="A10" s="5" t="s">
        <v>29</v>
      </c>
      <c r="B10" s="5" t="s">
        <v>30</v>
      </c>
      <c r="C10" s="5" t="s">
        <v>14</v>
      </c>
      <c r="D10" s="5" t="n">
        <v>8</v>
      </c>
      <c r="E10" s="5" t="s">
        <v>31</v>
      </c>
      <c r="F10" s="5" t="s">
        <v>16</v>
      </c>
      <c r="G10" s="6" t="s">
        <v>17</v>
      </c>
      <c r="H10" s="5" t="s">
        <v>32</v>
      </c>
      <c r="I10" s="5" t="s">
        <v>33</v>
      </c>
    </row>
    <row r="11" customFormat="false" ht="23.85" hidden="false" customHeight="false" outlineLevel="0" collapsed="false">
      <c r="A11" s="7" t="s">
        <v>34</v>
      </c>
      <c r="B11" s="7" t="s">
        <v>35</v>
      </c>
      <c r="C11" s="7" t="s">
        <v>14</v>
      </c>
      <c r="D11" s="7" t="n">
        <v>3</v>
      </c>
      <c r="E11" s="7" t="s">
        <v>12</v>
      </c>
      <c r="F11" s="7" t="s">
        <v>16</v>
      </c>
      <c r="G11" s="6" t="s">
        <v>17</v>
      </c>
      <c r="H11" s="7" t="s">
        <v>15</v>
      </c>
      <c r="I11" s="7" t="s">
        <v>36</v>
      </c>
    </row>
    <row r="12" customFormat="false" ht="15" hidden="false" customHeight="false" outlineLevel="0" collapsed="false">
      <c r="A12" s="5" t="s">
        <v>37</v>
      </c>
      <c r="B12" s="5" t="s">
        <v>38</v>
      </c>
      <c r="C12" s="5" t="s">
        <v>14</v>
      </c>
      <c r="D12" s="5" t="n">
        <v>4</v>
      </c>
      <c r="E12" s="5" t="s">
        <v>29</v>
      </c>
      <c r="F12" s="5" t="s">
        <v>16</v>
      </c>
      <c r="G12" s="6" t="s">
        <v>17</v>
      </c>
      <c r="H12" s="5" t="s">
        <v>15</v>
      </c>
      <c r="I12" s="5" t="s">
        <v>39</v>
      </c>
    </row>
    <row r="13" customFormat="false" ht="15" hidden="false" customHeight="false" outlineLevel="0" collapsed="false">
      <c r="A13" s="7" t="s">
        <v>40</v>
      </c>
      <c r="B13" s="7" t="s">
        <v>41</v>
      </c>
      <c r="C13" s="7" t="s">
        <v>14</v>
      </c>
      <c r="D13" s="7" t="n">
        <v>4</v>
      </c>
      <c r="E13" s="7" t="s">
        <v>29</v>
      </c>
      <c r="F13" s="7" t="s">
        <v>16</v>
      </c>
      <c r="G13" s="6" t="s">
        <v>17</v>
      </c>
      <c r="H13" s="7" t="s">
        <v>24</v>
      </c>
      <c r="I13" s="7" t="s">
        <v>42</v>
      </c>
    </row>
    <row r="14" customFormat="false" ht="15" hidden="false" customHeight="false" outlineLevel="0" collapsed="false">
      <c r="A14" s="5" t="s">
        <v>43</v>
      </c>
      <c r="B14" s="5" t="s">
        <v>44</v>
      </c>
      <c r="C14" s="5" t="s">
        <v>14</v>
      </c>
      <c r="D14" s="5" t="n">
        <v>2</v>
      </c>
      <c r="E14" s="5" t="s">
        <v>15</v>
      </c>
      <c r="F14" s="5" t="s">
        <v>16</v>
      </c>
      <c r="G14" s="6" t="s">
        <v>17</v>
      </c>
      <c r="H14" s="5" t="s">
        <v>15</v>
      </c>
      <c r="I14" s="5" t="s">
        <v>45</v>
      </c>
    </row>
    <row r="15" customFormat="false" ht="15" hidden="false" customHeight="false" outlineLevel="0" collapsed="false">
      <c r="A15" s="7" t="s">
        <v>46</v>
      </c>
      <c r="B15" s="7" t="s">
        <v>47</v>
      </c>
      <c r="C15" s="7" t="s">
        <v>14</v>
      </c>
      <c r="D15" s="7" t="n">
        <v>1</v>
      </c>
      <c r="E15" s="7" t="s">
        <v>15</v>
      </c>
      <c r="F15" s="7" t="s">
        <v>16</v>
      </c>
      <c r="G15" s="6" t="s">
        <v>17</v>
      </c>
      <c r="H15" s="7" t="s">
        <v>15</v>
      </c>
      <c r="I15" s="7" t="s">
        <v>48</v>
      </c>
    </row>
    <row r="16" customFormat="false" ht="15" hidden="false" customHeight="true" outlineLevel="0" collapsed="false">
      <c r="A16" s="8" t="s">
        <v>49</v>
      </c>
      <c r="B16" s="8"/>
      <c r="C16" s="8"/>
      <c r="D16" s="8"/>
      <c r="E16" s="8"/>
      <c r="F16" s="8"/>
      <c r="G16" s="8"/>
      <c r="H16" s="8"/>
      <c r="I16" s="8"/>
    </row>
    <row r="17" customFormat="false" ht="15" hidden="false" customHeight="false" outlineLevel="0" collapsed="false">
      <c r="A17" s="5" t="s">
        <v>50</v>
      </c>
      <c r="B17" s="5" t="s">
        <v>51</v>
      </c>
      <c r="C17" s="5" t="s">
        <v>14</v>
      </c>
      <c r="D17" s="5" t="n">
        <v>6</v>
      </c>
      <c r="E17" s="5" t="s">
        <v>19</v>
      </c>
      <c r="F17" s="5" t="s">
        <v>52</v>
      </c>
      <c r="G17" s="9" t="s">
        <v>53</v>
      </c>
      <c r="H17" s="5" t="s">
        <v>24</v>
      </c>
      <c r="I17" s="5" t="s">
        <v>54</v>
      </c>
    </row>
    <row r="18" customFormat="false" ht="15" hidden="false" customHeight="false" outlineLevel="0" collapsed="false">
      <c r="A18" s="7" t="s">
        <v>55</v>
      </c>
      <c r="B18" s="7" t="s">
        <v>56</v>
      </c>
      <c r="C18" s="7" t="s">
        <v>14</v>
      </c>
      <c r="D18" s="7" t="n">
        <v>8</v>
      </c>
      <c r="E18" s="7" t="s">
        <v>50</v>
      </c>
      <c r="F18" s="7" t="s">
        <v>52</v>
      </c>
      <c r="G18" s="9" t="s">
        <v>53</v>
      </c>
      <c r="H18" s="7" t="s">
        <v>24</v>
      </c>
      <c r="I18" s="7" t="s">
        <v>57</v>
      </c>
    </row>
    <row r="19" customFormat="false" ht="15" hidden="false" customHeight="false" outlineLevel="0" collapsed="false">
      <c r="A19" s="5" t="s">
        <v>58</v>
      </c>
      <c r="B19" s="5" t="s">
        <v>59</v>
      </c>
      <c r="C19" s="5" t="s">
        <v>14</v>
      </c>
      <c r="D19" s="5" t="n">
        <v>6</v>
      </c>
      <c r="E19" s="5" t="s">
        <v>34</v>
      </c>
      <c r="F19" s="5" t="s">
        <v>52</v>
      </c>
      <c r="G19" s="9" t="s">
        <v>53</v>
      </c>
      <c r="H19" s="5" t="s">
        <v>24</v>
      </c>
      <c r="I19" s="5" t="s">
        <v>60</v>
      </c>
    </row>
    <row r="20" customFormat="false" ht="23.85" hidden="false" customHeight="false" outlineLevel="0" collapsed="false">
      <c r="A20" s="7" t="s">
        <v>61</v>
      </c>
      <c r="B20" s="7" t="s">
        <v>62</v>
      </c>
      <c r="C20" s="7" t="s">
        <v>14</v>
      </c>
      <c r="D20" s="7" t="n">
        <v>4</v>
      </c>
      <c r="E20" s="7" t="s">
        <v>55</v>
      </c>
      <c r="F20" s="7" t="s">
        <v>52</v>
      </c>
      <c r="G20" s="9" t="s">
        <v>53</v>
      </c>
      <c r="H20" s="7" t="s">
        <v>24</v>
      </c>
      <c r="I20" s="7" t="s">
        <v>63</v>
      </c>
    </row>
    <row r="21" customFormat="false" ht="23.85" hidden="false" customHeight="false" outlineLevel="0" collapsed="false">
      <c r="A21" s="5" t="s">
        <v>64</v>
      </c>
      <c r="B21" s="5" t="s">
        <v>65</v>
      </c>
      <c r="C21" s="5" t="s">
        <v>14</v>
      </c>
      <c r="D21" s="5" t="n">
        <v>4</v>
      </c>
      <c r="E21" s="5" t="s">
        <v>55</v>
      </c>
      <c r="F21" s="5" t="s">
        <v>66</v>
      </c>
      <c r="G21" s="9" t="s">
        <v>53</v>
      </c>
      <c r="H21" s="5" t="s">
        <v>24</v>
      </c>
      <c r="I21" s="5" t="s">
        <v>67</v>
      </c>
    </row>
    <row r="22" customFormat="false" ht="23.85" hidden="false" customHeight="false" outlineLevel="0" collapsed="false">
      <c r="A22" s="7" t="s">
        <v>68</v>
      </c>
      <c r="B22" s="7" t="s">
        <v>69</v>
      </c>
      <c r="C22" s="7" t="s">
        <v>14</v>
      </c>
      <c r="D22" s="7" t="n">
        <v>6</v>
      </c>
      <c r="E22" s="7" t="s">
        <v>58</v>
      </c>
      <c r="F22" s="7" t="s">
        <v>70</v>
      </c>
      <c r="G22" s="9" t="s">
        <v>53</v>
      </c>
      <c r="H22" s="7" t="s">
        <v>32</v>
      </c>
      <c r="I22" s="7" t="s">
        <v>71</v>
      </c>
    </row>
    <row r="23" customFormat="false" ht="23.85" hidden="false" customHeight="false" outlineLevel="0" collapsed="false">
      <c r="A23" s="5" t="s">
        <v>72</v>
      </c>
      <c r="B23" s="5" t="s">
        <v>73</v>
      </c>
      <c r="C23" s="5" t="s">
        <v>14</v>
      </c>
      <c r="D23" s="5" t="n">
        <v>3</v>
      </c>
      <c r="E23" s="5" t="s">
        <v>58</v>
      </c>
      <c r="F23" s="5" t="s">
        <v>70</v>
      </c>
      <c r="G23" s="9" t="s">
        <v>53</v>
      </c>
      <c r="H23" s="5" t="s">
        <v>24</v>
      </c>
      <c r="I23" s="5" t="s">
        <v>74</v>
      </c>
    </row>
    <row r="24" customFormat="false" ht="15" hidden="false" customHeight="false" outlineLevel="0" collapsed="false">
      <c r="A24" s="7" t="s">
        <v>75</v>
      </c>
      <c r="B24" s="7" t="s">
        <v>76</v>
      </c>
      <c r="C24" s="7" t="s">
        <v>14</v>
      </c>
      <c r="D24" s="7" t="n">
        <v>4</v>
      </c>
      <c r="E24" s="7" t="s">
        <v>68</v>
      </c>
      <c r="F24" s="7" t="s">
        <v>70</v>
      </c>
      <c r="G24" s="9" t="s">
        <v>53</v>
      </c>
      <c r="H24" s="7" t="s">
        <v>32</v>
      </c>
      <c r="I24" s="7" t="s">
        <v>77</v>
      </c>
    </row>
    <row r="25" customFormat="false" ht="15" hidden="false" customHeight="false" outlineLevel="0" collapsed="false">
      <c r="A25" s="5" t="s">
        <v>78</v>
      </c>
      <c r="B25" s="5" t="s">
        <v>79</v>
      </c>
      <c r="C25" s="5" t="s">
        <v>14</v>
      </c>
      <c r="D25" s="5" t="n">
        <v>2</v>
      </c>
      <c r="E25" s="5" t="s">
        <v>55</v>
      </c>
      <c r="F25" s="5" t="s">
        <v>70</v>
      </c>
      <c r="G25" s="9" t="s">
        <v>53</v>
      </c>
      <c r="H25" s="5" t="s">
        <v>24</v>
      </c>
      <c r="I25" s="5" t="s">
        <v>80</v>
      </c>
    </row>
    <row r="26" customFormat="false" ht="23.85" hidden="false" customHeight="false" outlineLevel="0" collapsed="false">
      <c r="A26" s="7" t="s">
        <v>81</v>
      </c>
      <c r="B26" s="7" t="s">
        <v>82</v>
      </c>
      <c r="C26" s="7" t="s">
        <v>14</v>
      </c>
      <c r="D26" s="7" t="n">
        <v>8</v>
      </c>
      <c r="E26" s="7" t="s">
        <v>83</v>
      </c>
      <c r="F26" s="7" t="s">
        <v>70</v>
      </c>
      <c r="G26" s="9" t="s">
        <v>53</v>
      </c>
      <c r="H26" s="10" t="s">
        <v>84</v>
      </c>
      <c r="I26" s="7" t="s">
        <v>85</v>
      </c>
    </row>
    <row r="27" customFormat="false" ht="15" hidden="false" customHeight="true" outlineLevel="0" collapsed="false">
      <c r="A27" s="8" t="s">
        <v>86</v>
      </c>
      <c r="B27" s="8"/>
      <c r="C27" s="8"/>
      <c r="D27" s="8"/>
      <c r="E27" s="8"/>
      <c r="F27" s="8"/>
      <c r="G27" s="8"/>
      <c r="H27" s="8"/>
      <c r="I27" s="8"/>
    </row>
    <row r="28" customFormat="false" ht="23.85" hidden="false" customHeight="false" outlineLevel="0" collapsed="false">
      <c r="A28" s="5" t="s">
        <v>87</v>
      </c>
      <c r="B28" s="5" t="s">
        <v>88</v>
      </c>
      <c r="C28" s="5" t="s">
        <v>14</v>
      </c>
      <c r="D28" s="5" t="n">
        <v>6</v>
      </c>
      <c r="E28" s="5" t="s">
        <v>75</v>
      </c>
      <c r="F28" s="5" t="s">
        <v>89</v>
      </c>
      <c r="G28" s="9" t="s">
        <v>53</v>
      </c>
      <c r="H28" s="5" t="s">
        <v>24</v>
      </c>
      <c r="I28" s="5" t="s">
        <v>90</v>
      </c>
    </row>
    <row r="29" customFormat="false" ht="15" hidden="false" customHeight="false" outlineLevel="0" collapsed="false">
      <c r="A29" s="7" t="s">
        <v>91</v>
      </c>
      <c r="B29" s="7" t="s">
        <v>92</v>
      </c>
      <c r="C29" s="7" t="s">
        <v>14</v>
      </c>
      <c r="D29" s="7" t="n">
        <v>4</v>
      </c>
      <c r="E29" s="7" t="s">
        <v>87</v>
      </c>
      <c r="F29" s="7" t="s">
        <v>89</v>
      </c>
      <c r="G29" s="9" t="s">
        <v>53</v>
      </c>
      <c r="H29" s="7" t="s">
        <v>24</v>
      </c>
      <c r="I29" s="7" t="s">
        <v>93</v>
      </c>
    </row>
    <row r="30" customFormat="false" ht="15" hidden="false" customHeight="false" outlineLevel="0" collapsed="false">
      <c r="A30" s="5" t="s">
        <v>94</v>
      </c>
      <c r="B30" s="5" t="s">
        <v>95</v>
      </c>
      <c r="C30" s="5" t="s">
        <v>14</v>
      </c>
      <c r="D30" s="5" t="n">
        <v>6</v>
      </c>
      <c r="E30" s="5" t="s">
        <v>87</v>
      </c>
      <c r="F30" s="5" t="s">
        <v>89</v>
      </c>
      <c r="G30" s="9" t="s">
        <v>53</v>
      </c>
      <c r="H30" s="5" t="s">
        <v>32</v>
      </c>
      <c r="I30" s="5" t="s">
        <v>96</v>
      </c>
    </row>
    <row r="31" customFormat="false" ht="15" hidden="false" customHeight="false" outlineLevel="0" collapsed="false">
      <c r="A31" s="7" t="s">
        <v>97</v>
      </c>
      <c r="B31" s="7" t="s">
        <v>98</v>
      </c>
      <c r="C31" s="7" t="s">
        <v>14</v>
      </c>
      <c r="D31" s="7" t="n">
        <v>4</v>
      </c>
      <c r="E31" s="7" t="s">
        <v>87</v>
      </c>
      <c r="F31" s="7" t="s">
        <v>89</v>
      </c>
      <c r="G31" s="9" t="s">
        <v>53</v>
      </c>
      <c r="H31" s="7" t="s">
        <v>24</v>
      </c>
      <c r="I31" s="7" t="s">
        <v>99</v>
      </c>
    </row>
    <row r="32" customFormat="false" ht="15" hidden="false" customHeight="false" outlineLevel="0" collapsed="false">
      <c r="A32" s="5" t="s">
        <v>100</v>
      </c>
      <c r="B32" s="5" t="s">
        <v>101</v>
      </c>
      <c r="C32" s="5" t="s">
        <v>14</v>
      </c>
      <c r="D32" s="5" t="n">
        <v>6</v>
      </c>
      <c r="E32" s="5" t="s">
        <v>97</v>
      </c>
      <c r="F32" s="5" t="s">
        <v>102</v>
      </c>
      <c r="G32" s="9" t="s">
        <v>53</v>
      </c>
      <c r="H32" s="5" t="s">
        <v>24</v>
      </c>
      <c r="I32" s="5" t="s">
        <v>103</v>
      </c>
    </row>
    <row r="33" customFormat="false" ht="15" hidden="false" customHeight="false" outlineLevel="0" collapsed="false">
      <c r="A33" s="7" t="s">
        <v>104</v>
      </c>
      <c r="B33" s="7" t="s">
        <v>105</v>
      </c>
      <c r="C33" s="7" t="s">
        <v>14</v>
      </c>
      <c r="D33" s="7" t="n">
        <v>4</v>
      </c>
      <c r="E33" s="7" t="s">
        <v>97</v>
      </c>
      <c r="F33" s="7" t="s">
        <v>102</v>
      </c>
      <c r="G33" s="9" t="s">
        <v>53</v>
      </c>
      <c r="H33" s="7" t="s">
        <v>24</v>
      </c>
      <c r="I33" s="7" t="s">
        <v>106</v>
      </c>
    </row>
    <row r="34" customFormat="false" ht="15" hidden="false" customHeight="false" outlineLevel="0" collapsed="false">
      <c r="A34" s="5" t="s">
        <v>107</v>
      </c>
      <c r="B34" s="5" t="s">
        <v>108</v>
      </c>
      <c r="C34" s="5" t="s">
        <v>14</v>
      </c>
      <c r="D34" s="5" t="n">
        <v>3</v>
      </c>
      <c r="E34" s="5" t="s">
        <v>97</v>
      </c>
      <c r="F34" s="5" t="s">
        <v>102</v>
      </c>
      <c r="G34" s="9" t="s">
        <v>53</v>
      </c>
      <c r="H34" s="5" t="s">
        <v>15</v>
      </c>
      <c r="I34" s="5" t="s">
        <v>109</v>
      </c>
    </row>
    <row r="35" customFormat="false" ht="23.85" hidden="false" customHeight="false" outlineLevel="0" collapsed="false">
      <c r="A35" s="7" t="s">
        <v>110</v>
      </c>
      <c r="B35" s="7" t="s">
        <v>111</v>
      </c>
      <c r="C35" s="7" t="s">
        <v>14</v>
      </c>
      <c r="D35" s="7" t="n">
        <v>6</v>
      </c>
      <c r="E35" s="7" t="s">
        <v>112</v>
      </c>
      <c r="F35" s="7" t="s">
        <v>102</v>
      </c>
      <c r="G35" s="9" t="s">
        <v>53</v>
      </c>
      <c r="H35" s="10" t="s">
        <v>84</v>
      </c>
      <c r="I35" s="7" t="s">
        <v>113</v>
      </c>
    </row>
    <row r="36" customFormat="false" ht="15" hidden="false" customHeight="true" outlineLevel="0" collapsed="false">
      <c r="A36" s="8" t="s">
        <v>114</v>
      </c>
      <c r="B36" s="8"/>
      <c r="C36" s="8"/>
      <c r="D36" s="8"/>
      <c r="E36" s="8"/>
      <c r="F36" s="8"/>
      <c r="G36" s="8"/>
      <c r="H36" s="8"/>
      <c r="I36" s="8"/>
    </row>
    <row r="37" customFormat="false" ht="15" hidden="false" customHeight="false" outlineLevel="0" collapsed="false">
      <c r="A37" s="5" t="s">
        <v>115</v>
      </c>
      <c r="B37" s="5" t="s">
        <v>116</v>
      </c>
      <c r="C37" s="5" t="s">
        <v>14</v>
      </c>
      <c r="D37" s="5" t="n">
        <v>8</v>
      </c>
      <c r="E37" s="5" t="s">
        <v>26</v>
      </c>
      <c r="F37" s="5" t="s">
        <v>117</v>
      </c>
      <c r="G37" s="9" t="s">
        <v>53</v>
      </c>
      <c r="H37" s="5" t="s">
        <v>24</v>
      </c>
      <c r="I37" s="5" t="s">
        <v>118</v>
      </c>
    </row>
    <row r="38" customFormat="false" ht="15" hidden="false" customHeight="false" outlineLevel="0" collapsed="false">
      <c r="A38" s="7" t="s">
        <v>119</v>
      </c>
      <c r="B38" s="7" t="s">
        <v>120</v>
      </c>
      <c r="C38" s="7" t="s">
        <v>14</v>
      </c>
      <c r="D38" s="7" t="n">
        <v>6</v>
      </c>
      <c r="E38" s="7" t="s">
        <v>115</v>
      </c>
      <c r="F38" s="7" t="s">
        <v>117</v>
      </c>
      <c r="G38" s="9" t="s">
        <v>53</v>
      </c>
      <c r="H38" s="7" t="s">
        <v>32</v>
      </c>
      <c r="I38" s="7" t="s">
        <v>121</v>
      </c>
    </row>
    <row r="39" customFormat="false" ht="23.85" hidden="false" customHeight="false" outlineLevel="0" collapsed="false">
      <c r="A39" s="5" t="s">
        <v>122</v>
      </c>
      <c r="B39" s="5" t="s">
        <v>123</v>
      </c>
      <c r="C39" s="5" t="s">
        <v>14</v>
      </c>
      <c r="D39" s="5" t="n">
        <v>8</v>
      </c>
      <c r="E39" s="5" t="s">
        <v>115</v>
      </c>
      <c r="F39" s="5" t="s">
        <v>124</v>
      </c>
      <c r="G39" s="9" t="s">
        <v>53</v>
      </c>
      <c r="H39" s="5" t="s">
        <v>24</v>
      </c>
      <c r="I39" s="5" t="s">
        <v>125</v>
      </c>
    </row>
    <row r="40" customFormat="false" ht="15" hidden="false" customHeight="false" outlineLevel="0" collapsed="false">
      <c r="A40" s="7" t="s">
        <v>126</v>
      </c>
      <c r="B40" s="7" t="s">
        <v>127</v>
      </c>
      <c r="C40" s="7" t="s">
        <v>14</v>
      </c>
      <c r="D40" s="7" t="n">
        <v>4</v>
      </c>
      <c r="E40" s="7" t="s">
        <v>122</v>
      </c>
      <c r="F40" s="7" t="s">
        <v>128</v>
      </c>
      <c r="G40" s="9" t="s">
        <v>53</v>
      </c>
      <c r="H40" s="7" t="s">
        <v>24</v>
      </c>
      <c r="I40" s="7" t="s">
        <v>129</v>
      </c>
    </row>
    <row r="41" customFormat="false" ht="15" hidden="false" customHeight="false" outlineLevel="0" collapsed="false">
      <c r="A41" s="5" t="s">
        <v>130</v>
      </c>
      <c r="B41" s="5" t="s">
        <v>131</v>
      </c>
      <c r="C41" s="5" t="s">
        <v>14</v>
      </c>
      <c r="D41" s="5" t="n">
        <v>6</v>
      </c>
      <c r="E41" s="5" t="s">
        <v>119</v>
      </c>
      <c r="F41" s="5" t="s">
        <v>128</v>
      </c>
      <c r="G41" s="9" t="s">
        <v>53</v>
      </c>
      <c r="H41" s="5" t="s">
        <v>24</v>
      </c>
      <c r="I41" s="5" t="s">
        <v>132</v>
      </c>
    </row>
    <row r="42" customFormat="false" ht="15" hidden="false" customHeight="false" outlineLevel="0" collapsed="false">
      <c r="A42" s="7" t="s">
        <v>133</v>
      </c>
      <c r="B42" s="7" t="s">
        <v>134</v>
      </c>
      <c r="C42" s="7" t="s">
        <v>14</v>
      </c>
      <c r="D42" s="7" t="n">
        <v>4</v>
      </c>
      <c r="E42" s="7" t="s">
        <v>119</v>
      </c>
      <c r="F42" s="7" t="s">
        <v>128</v>
      </c>
      <c r="G42" s="9" t="s">
        <v>53</v>
      </c>
      <c r="H42" s="7" t="s">
        <v>24</v>
      </c>
      <c r="I42" s="7" t="s">
        <v>135</v>
      </c>
    </row>
    <row r="43" customFormat="false" ht="23.85" hidden="false" customHeight="false" outlineLevel="0" collapsed="false">
      <c r="A43" s="5" t="s">
        <v>136</v>
      </c>
      <c r="B43" s="5" t="s">
        <v>137</v>
      </c>
      <c r="C43" s="5" t="s">
        <v>14</v>
      </c>
      <c r="D43" s="5" t="n">
        <v>6</v>
      </c>
      <c r="E43" s="5" t="s">
        <v>138</v>
      </c>
      <c r="F43" s="5" t="s">
        <v>128</v>
      </c>
      <c r="G43" s="9" t="s">
        <v>53</v>
      </c>
      <c r="H43" s="11" t="s">
        <v>84</v>
      </c>
      <c r="I43" s="5" t="s">
        <v>139</v>
      </c>
    </row>
    <row r="44" customFormat="false" ht="15" hidden="false" customHeight="true" outlineLevel="0" collapsed="false">
      <c r="A44" s="8" t="s">
        <v>140</v>
      </c>
      <c r="B44" s="8"/>
      <c r="C44" s="8"/>
      <c r="D44" s="8"/>
      <c r="E44" s="8"/>
      <c r="F44" s="8"/>
      <c r="G44" s="8"/>
      <c r="H44" s="8"/>
      <c r="I44" s="8"/>
    </row>
    <row r="45" customFormat="false" ht="23.85" hidden="false" customHeight="false" outlineLevel="0" collapsed="false">
      <c r="A45" s="5" t="s">
        <v>141</v>
      </c>
      <c r="B45" s="5" t="s">
        <v>142</v>
      </c>
      <c r="C45" s="5" t="s">
        <v>14</v>
      </c>
      <c r="D45" s="5" t="n">
        <v>6</v>
      </c>
      <c r="E45" s="5" t="s">
        <v>19</v>
      </c>
      <c r="F45" s="5" t="s">
        <v>143</v>
      </c>
      <c r="G45" s="9" t="s">
        <v>53</v>
      </c>
      <c r="H45" s="5" t="s">
        <v>24</v>
      </c>
      <c r="I45" s="5" t="s">
        <v>144</v>
      </c>
    </row>
    <row r="46" customFormat="false" ht="15" hidden="false" customHeight="false" outlineLevel="0" collapsed="false">
      <c r="A46" s="7" t="s">
        <v>145</v>
      </c>
      <c r="B46" s="7" t="s">
        <v>146</v>
      </c>
      <c r="C46" s="7" t="s">
        <v>14</v>
      </c>
      <c r="D46" s="7" t="n">
        <v>4</v>
      </c>
      <c r="E46" s="7" t="s">
        <v>141</v>
      </c>
      <c r="F46" s="7" t="s">
        <v>143</v>
      </c>
      <c r="G46" s="9" t="s">
        <v>53</v>
      </c>
      <c r="H46" s="7" t="s">
        <v>24</v>
      </c>
      <c r="I46" s="7" t="s">
        <v>147</v>
      </c>
    </row>
    <row r="47" customFormat="false" ht="15" hidden="false" customHeight="false" outlineLevel="0" collapsed="false">
      <c r="A47" s="5" t="s">
        <v>148</v>
      </c>
      <c r="B47" s="5" t="s">
        <v>149</v>
      </c>
      <c r="C47" s="5" t="s">
        <v>14</v>
      </c>
      <c r="D47" s="5" t="n">
        <v>6</v>
      </c>
      <c r="E47" s="5" t="s">
        <v>141</v>
      </c>
      <c r="F47" s="5" t="s">
        <v>143</v>
      </c>
      <c r="G47" s="9" t="s">
        <v>53</v>
      </c>
      <c r="H47" s="5" t="s">
        <v>32</v>
      </c>
      <c r="I47" s="5" t="s">
        <v>150</v>
      </c>
    </row>
    <row r="48" customFormat="false" ht="15" hidden="false" customHeight="false" outlineLevel="0" collapsed="false">
      <c r="A48" s="7" t="s">
        <v>151</v>
      </c>
      <c r="B48" s="7" t="s">
        <v>152</v>
      </c>
      <c r="C48" s="7" t="s">
        <v>14</v>
      </c>
      <c r="D48" s="7" t="n">
        <v>4</v>
      </c>
      <c r="E48" s="7" t="s">
        <v>68</v>
      </c>
      <c r="F48" s="7" t="s">
        <v>153</v>
      </c>
      <c r="G48" s="9" t="s">
        <v>53</v>
      </c>
      <c r="H48" s="7" t="s">
        <v>24</v>
      </c>
      <c r="I48" s="7" t="s">
        <v>154</v>
      </c>
    </row>
    <row r="49" customFormat="false" ht="15" hidden="false" customHeight="false" outlineLevel="0" collapsed="false">
      <c r="A49" s="5" t="s">
        <v>155</v>
      </c>
      <c r="B49" s="5" t="s">
        <v>156</v>
      </c>
      <c r="C49" s="5" t="s">
        <v>14</v>
      </c>
      <c r="D49" s="5" t="n">
        <v>6</v>
      </c>
      <c r="E49" s="5" t="s">
        <v>26</v>
      </c>
      <c r="F49" s="5" t="s">
        <v>157</v>
      </c>
      <c r="G49" s="9" t="s">
        <v>53</v>
      </c>
      <c r="H49" s="5" t="s">
        <v>24</v>
      </c>
      <c r="I49" s="5" t="s">
        <v>118</v>
      </c>
    </row>
    <row r="50" customFormat="false" ht="15" hidden="false" customHeight="false" outlineLevel="0" collapsed="false">
      <c r="A50" s="7" t="s">
        <v>158</v>
      </c>
      <c r="B50" s="7" t="s">
        <v>159</v>
      </c>
      <c r="C50" s="7" t="s">
        <v>14</v>
      </c>
      <c r="D50" s="7" t="n">
        <v>6</v>
      </c>
      <c r="E50" s="7" t="s">
        <v>155</v>
      </c>
      <c r="F50" s="7" t="s">
        <v>157</v>
      </c>
      <c r="G50" s="9" t="s">
        <v>53</v>
      </c>
      <c r="H50" s="7" t="s">
        <v>32</v>
      </c>
      <c r="I50" s="7" t="s">
        <v>160</v>
      </c>
    </row>
    <row r="51" customFormat="false" ht="23.85" hidden="false" customHeight="false" outlineLevel="0" collapsed="false">
      <c r="A51" s="5" t="s">
        <v>161</v>
      </c>
      <c r="B51" s="5" t="s">
        <v>162</v>
      </c>
      <c r="C51" s="5" t="s">
        <v>14</v>
      </c>
      <c r="D51" s="5" t="n">
        <v>6</v>
      </c>
      <c r="E51" s="5" t="s">
        <v>163</v>
      </c>
      <c r="F51" s="5" t="s">
        <v>157</v>
      </c>
      <c r="G51" s="9" t="s">
        <v>53</v>
      </c>
      <c r="H51" s="11" t="s">
        <v>84</v>
      </c>
      <c r="I51" s="5" t="s">
        <v>164</v>
      </c>
    </row>
    <row r="52" customFormat="false" ht="15" hidden="false" customHeight="true" outlineLevel="0" collapsed="false">
      <c r="A52" s="8" t="s">
        <v>165</v>
      </c>
      <c r="B52" s="8"/>
      <c r="C52" s="8"/>
      <c r="D52" s="8"/>
      <c r="E52" s="8"/>
      <c r="F52" s="8"/>
      <c r="G52" s="8"/>
      <c r="H52" s="8"/>
      <c r="I52" s="8"/>
    </row>
    <row r="53" customFormat="false" ht="15" hidden="false" customHeight="false" outlineLevel="0" collapsed="false">
      <c r="A53" s="5" t="s">
        <v>166</v>
      </c>
      <c r="B53" s="5" t="s">
        <v>167</v>
      </c>
      <c r="C53" s="5" t="s">
        <v>14</v>
      </c>
      <c r="D53" s="5" t="n">
        <v>6</v>
      </c>
      <c r="E53" s="5" t="s">
        <v>50</v>
      </c>
      <c r="F53" s="5" t="s">
        <v>168</v>
      </c>
      <c r="G53" s="9" t="s">
        <v>53</v>
      </c>
      <c r="H53" s="5" t="s">
        <v>24</v>
      </c>
      <c r="I53" s="5" t="s">
        <v>169</v>
      </c>
    </row>
    <row r="54" customFormat="false" ht="15" hidden="false" customHeight="false" outlineLevel="0" collapsed="false">
      <c r="A54" s="7" t="s">
        <v>170</v>
      </c>
      <c r="B54" s="7" t="s">
        <v>171</v>
      </c>
      <c r="C54" s="7" t="s">
        <v>14</v>
      </c>
      <c r="D54" s="7" t="n">
        <v>6</v>
      </c>
      <c r="E54" s="7" t="s">
        <v>166</v>
      </c>
      <c r="F54" s="7" t="s">
        <v>168</v>
      </c>
      <c r="G54" s="9" t="s">
        <v>53</v>
      </c>
      <c r="H54" s="7" t="s">
        <v>32</v>
      </c>
      <c r="I54" s="7" t="s">
        <v>172</v>
      </c>
    </row>
    <row r="55" customFormat="false" ht="15" hidden="false" customHeight="false" outlineLevel="0" collapsed="false">
      <c r="A55" s="5" t="s">
        <v>173</v>
      </c>
      <c r="B55" s="5" t="s">
        <v>174</v>
      </c>
      <c r="C55" s="5" t="s">
        <v>14</v>
      </c>
      <c r="D55" s="5" t="n">
        <v>6</v>
      </c>
      <c r="E55" s="5" t="s">
        <v>15</v>
      </c>
      <c r="F55" s="5" t="s">
        <v>175</v>
      </c>
      <c r="G55" s="9" t="s">
        <v>53</v>
      </c>
      <c r="H55" s="5" t="s">
        <v>24</v>
      </c>
      <c r="I55" s="5" t="s">
        <v>176</v>
      </c>
    </row>
    <row r="56" customFormat="false" ht="15" hidden="false" customHeight="false" outlineLevel="0" collapsed="false">
      <c r="A56" s="7" t="s">
        <v>177</v>
      </c>
      <c r="B56" s="7" t="s">
        <v>178</v>
      </c>
      <c r="C56" s="7" t="s">
        <v>14</v>
      </c>
      <c r="D56" s="7" t="n">
        <v>4</v>
      </c>
      <c r="E56" s="7" t="s">
        <v>173</v>
      </c>
      <c r="F56" s="7" t="s">
        <v>179</v>
      </c>
      <c r="G56" s="9" t="s">
        <v>53</v>
      </c>
      <c r="H56" s="7" t="s">
        <v>24</v>
      </c>
      <c r="I56" s="7" t="s">
        <v>176</v>
      </c>
    </row>
    <row r="57" customFormat="false" ht="15" hidden="false" customHeight="false" outlineLevel="0" collapsed="false">
      <c r="A57" s="5" t="s">
        <v>180</v>
      </c>
      <c r="B57" s="5" t="s">
        <v>181</v>
      </c>
      <c r="C57" s="5" t="s">
        <v>14</v>
      </c>
      <c r="D57" s="5" t="n">
        <v>6</v>
      </c>
      <c r="E57" s="5" t="s">
        <v>15</v>
      </c>
      <c r="F57" s="5" t="s">
        <v>179</v>
      </c>
      <c r="G57" s="9" t="s">
        <v>53</v>
      </c>
      <c r="H57" s="11" t="s">
        <v>182</v>
      </c>
      <c r="I57" s="5" t="s">
        <v>183</v>
      </c>
    </row>
    <row r="58" customFormat="false" ht="23.85" hidden="false" customHeight="false" outlineLevel="0" collapsed="false">
      <c r="A58" s="7" t="s">
        <v>184</v>
      </c>
      <c r="B58" s="7" t="s">
        <v>185</v>
      </c>
      <c r="C58" s="7" t="s">
        <v>14</v>
      </c>
      <c r="D58" s="7" t="n">
        <v>4</v>
      </c>
      <c r="E58" s="7" t="s">
        <v>15</v>
      </c>
      <c r="F58" s="7" t="s">
        <v>179</v>
      </c>
      <c r="G58" s="9" t="s">
        <v>53</v>
      </c>
      <c r="H58" s="10" t="s">
        <v>182</v>
      </c>
      <c r="I58" s="7" t="s">
        <v>186</v>
      </c>
    </row>
    <row r="59" customFormat="false" ht="15" hidden="false" customHeight="false" outlineLevel="0" collapsed="false">
      <c r="A59" s="5" t="s">
        <v>187</v>
      </c>
      <c r="B59" s="5" t="s">
        <v>188</v>
      </c>
      <c r="C59" s="5" t="s">
        <v>14</v>
      </c>
      <c r="D59" s="5" t="n">
        <v>3</v>
      </c>
      <c r="E59" s="5" t="s">
        <v>68</v>
      </c>
      <c r="F59" s="5" t="s">
        <v>179</v>
      </c>
      <c r="G59" s="9" t="s">
        <v>53</v>
      </c>
      <c r="H59" s="5" t="s">
        <v>24</v>
      </c>
      <c r="I59" s="5" t="s">
        <v>189</v>
      </c>
    </row>
    <row r="60" customFormat="false" ht="23.85" hidden="false" customHeight="false" outlineLevel="0" collapsed="false">
      <c r="A60" s="7" t="s">
        <v>190</v>
      </c>
      <c r="B60" s="7" t="s">
        <v>191</v>
      </c>
      <c r="C60" s="7" t="s">
        <v>14</v>
      </c>
      <c r="D60" s="7" t="n">
        <v>6</v>
      </c>
      <c r="E60" s="7" t="s">
        <v>192</v>
      </c>
      <c r="F60" s="7" t="s">
        <v>179</v>
      </c>
      <c r="G60" s="9" t="s">
        <v>53</v>
      </c>
      <c r="H60" s="10" t="s">
        <v>84</v>
      </c>
      <c r="I60" s="7" t="s">
        <v>193</v>
      </c>
    </row>
    <row r="61" customFormat="false" ht="15" hidden="false" customHeight="true" outlineLevel="0" collapsed="false">
      <c r="A61" s="12" t="s">
        <v>194</v>
      </c>
      <c r="B61" s="12"/>
      <c r="C61" s="12"/>
      <c r="D61" s="12"/>
      <c r="E61" s="12"/>
      <c r="F61" s="12"/>
      <c r="G61" s="12"/>
      <c r="H61" s="12"/>
      <c r="I61" s="12"/>
    </row>
    <row r="62" customFormat="false" ht="15" hidden="false" customHeight="false" outlineLevel="0" collapsed="false">
      <c r="A62" s="5" t="s">
        <v>195</v>
      </c>
      <c r="B62" s="5" t="s">
        <v>196</v>
      </c>
      <c r="C62" s="5" t="s">
        <v>14</v>
      </c>
      <c r="D62" s="5" t="n">
        <v>4</v>
      </c>
      <c r="E62" s="5" t="s">
        <v>55</v>
      </c>
      <c r="F62" s="5" t="s">
        <v>197</v>
      </c>
      <c r="G62" s="9" t="s">
        <v>53</v>
      </c>
      <c r="H62" s="5" t="s">
        <v>24</v>
      </c>
      <c r="I62" s="5" t="s">
        <v>198</v>
      </c>
    </row>
    <row r="63" customFormat="false" ht="15" hidden="false" customHeight="false" outlineLevel="0" collapsed="false">
      <c r="A63" s="7" t="s">
        <v>199</v>
      </c>
      <c r="B63" s="7" t="s">
        <v>200</v>
      </c>
      <c r="C63" s="7" t="s">
        <v>14</v>
      </c>
      <c r="D63" s="7" t="n">
        <v>6</v>
      </c>
      <c r="E63" s="7" t="s">
        <v>15</v>
      </c>
      <c r="F63" s="7" t="s">
        <v>197</v>
      </c>
      <c r="G63" s="9" t="s">
        <v>53</v>
      </c>
      <c r="H63" s="7" t="s">
        <v>32</v>
      </c>
      <c r="I63" s="7" t="s">
        <v>201</v>
      </c>
    </row>
    <row r="64" customFormat="false" ht="15" hidden="false" customHeight="false" outlineLevel="0" collapsed="false">
      <c r="A64" s="5" t="s">
        <v>202</v>
      </c>
      <c r="B64" s="5" t="s">
        <v>203</v>
      </c>
      <c r="C64" s="5" t="s">
        <v>14</v>
      </c>
      <c r="D64" s="5" t="n">
        <v>4</v>
      </c>
      <c r="E64" s="5" t="s">
        <v>15</v>
      </c>
      <c r="F64" s="5" t="s">
        <v>197</v>
      </c>
      <c r="G64" s="9" t="s">
        <v>53</v>
      </c>
      <c r="H64" s="5" t="s">
        <v>15</v>
      </c>
      <c r="I64" s="5" t="s">
        <v>204</v>
      </c>
    </row>
    <row r="65" customFormat="false" ht="23.85" hidden="false" customHeight="false" outlineLevel="0" collapsed="false">
      <c r="A65" s="7" t="s">
        <v>205</v>
      </c>
      <c r="B65" s="7" t="s">
        <v>206</v>
      </c>
      <c r="C65" s="7" t="s">
        <v>14</v>
      </c>
      <c r="D65" s="7" t="n">
        <v>2</v>
      </c>
      <c r="E65" s="7" t="s">
        <v>15</v>
      </c>
      <c r="F65" s="7" t="s">
        <v>197</v>
      </c>
      <c r="G65" s="9" t="s">
        <v>53</v>
      </c>
      <c r="H65" s="7" t="s">
        <v>15</v>
      </c>
      <c r="I65" s="7" t="s">
        <v>207</v>
      </c>
    </row>
    <row r="66" customFormat="false" ht="15" hidden="false" customHeight="false" outlineLevel="0" collapsed="false">
      <c r="A66" s="5" t="s">
        <v>208</v>
      </c>
      <c r="B66" s="5" t="s">
        <v>209</v>
      </c>
      <c r="C66" s="5" t="s">
        <v>14</v>
      </c>
      <c r="D66" s="5" t="n">
        <v>2</v>
      </c>
      <c r="E66" s="5" t="s">
        <v>15</v>
      </c>
      <c r="F66" s="5" t="s">
        <v>197</v>
      </c>
      <c r="G66" s="9" t="s">
        <v>53</v>
      </c>
      <c r="H66" s="5" t="s">
        <v>15</v>
      </c>
      <c r="I66" s="5" t="s">
        <v>210</v>
      </c>
    </row>
    <row r="67" customFormat="false" ht="15" hidden="false" customHeight="false" outlineLevel="0" collapsed="false">
      <c r="A67" s="7" t="s">
        <v>211</v>
      </c>
      <c r="B67" s="7" t="s">
        <v>212</v>
      </c>
      <c r="C67" s="7" t="s">
        <v>14</v>
      </c>
      <c r="D67" s="7" t="n">
        <v>4</v>
      </c>
      <c r="E67" s="7" t="s">
        <v>46</v>
      </c>
      <c r="F67" s="7" t="s">
        <v>197</v>
      </c>
      <c r="G67" s="9" t="s">
        <v>53</v>
      </c>
      <c r="H67" s="7" t="s">
        <v>15</v>
      </c>
      <c r="I67" s="7" t="s">
        <v>213</v>
      </c>
    </row>
    <row r="68" customFormat="false" ht="15" hidden="false" customHeight="false" outlineLevel="0" collapsed="false">
      <c r="A68" s="5" t="s">
        <v>214</v>
      </c>
      <c r="B68" s="5" t="s">
        <v>215</v>
      </c>
      <c r="C68" s="5" t="s">
        <v>14</v>
      </c>
      <c r="D68" s="5" t="n">
        <v>3</v>
      </c>
      <c r="E68" s="5" t="s">
        <v>15</v>
      </c>
      <c r="F68" s="5" t="s">
        <v>197</v>
      </c>
      <c r="G68" s="9" t="s">
        <v>53</v>
      </c>
      <c r="H68" s="5" t="s">
        <v>24</v>
      </c>
      <c r="I68" s="5" t="s">
        <v>216</v>
      </c>
    </row>
    <row r="69" customFormat="false" ht="15" hidden="false" customHeight="false" outlineLevel="0" collapsed="false">
      <c r="A69" s="7" t="s">
        <v>217</v>
      </c>
      <c r="B69" s="7" t="s">
        <v>218</v>
      </c>
      <c r="C69" s="7" t="s">
        <v>14</v>
      </c>
      <c r="D69" s="7" t="n">
        <v>4</v>
      </c>
      <c r="E69" s="7" t="s">
        <v>211</v>
      </c>
      <c r="F69" s="7" t="s">
        <v>219</v>
      </c>
      <c r="G69" s="9" t="s">
        <v>53</v>
      </c>
      <c r="H69" s="7" t="s">
        <v>220</v>
      </c>
      <c r="I69" s="7" t="s">
        <v>221</v>
      </c>
    </row>
    <row r="70" customFormat="false" ht="15" hidden="false" customHeight="false" outlineLevel="0" collapsed="false">
      <c r="A70" s="5" t="s">
        <v>222</v>
      </c>
      <c r="B70" s="5" t="s">
        <v>223</v>
      </c>
      <c r="C70" s="5" t="s">
        <v>14</v>
      </c>
      <c r="D70" s="5" t="n">
        <v>8</v>
      </c>
      <c r="E70" s="5" t="s">
        <v>217</v>
      </c>
      <c r="F70" s="5" t="s">
        <v>224</v>
      </c>
      <c r="G70" s="9" t="s">
        <v>53</v>
      </c>
      <c r="H70" s="11" t="s">
        <v>84</v>
      </c>
      <c r="I70" s="5" t="s">
        <v>225</v>
      </c>
    </row>
    <row r="71" customFormat="false" ht="23.85" hidden="false" customHeight="false" outlineLevel="0" collapsed="false">
      <c r="A71" s="7" t="s">
        <v>226</v>
      </c>
      <c r="B71" s="7" t="s">
        <v>227</v>
      </c>
      <c r="C71" s="7" t="s">
        <v>14</v>
      </c>
      <c r="D71" s="7" t="n">
        <v>4</v>
      </c>
      <c r="E71" s="7" t="s">
        <v>228</v>
      </c>
      <c r="F71" s="7" t="s">
        <v>224</v>
      </c>
      <c r="G71" s="9" t="s">
        <v>53</v>
      </c>
      <c r="H71" s="10" t="s">
        <v>84</v>
      </c>
      <c r="I71" s="7" t="s">
        <v>229</v>
      </c>
    </row>
    <row r="72" customFormat="false" ht="15" hidden="false" customHeight="false" outlineLevel="0" collapsed="false">
      <c r="A72" s="5" t="s">
        <v>230</v>
      </c>
      <c r="B72" s="5" t="s">
        <v>231</v>
      </c>
      <c r="C72" s="5" t="s">
        <v>14</v>
      </c>
      <c r="D72" s="5" t="n">
        <v>2</v>
      </c>
      <c r="E72" s="5" t="s">
        <v>232</v>
      </c>
      <c r="F72" s="5" t="s">
        <v>224</v>
      </c>
      <c r="G72" s="9" t="s">
        <v>53</v>
      </c>
      <c r="H72" s="5" t="s">
        <v>15</v>
      </c>
      <c r="I72" s="5" t="s">
        <v>233</v>
      </c>
    </row>
    <row r="73" customFormat="false" ht="15" hidden="false" customHeight="false" outlineLevel="0" collapsed="false">
      <c r="A73" s="7" t="s">
        <v>234</v>
      </c>
      <c r="B73" s="7" t="s">
        <v>235</v>
      </c>
      <c r="C73" s="7" t="s">
        <v>14</v>
      </c>
      <c r="D73" s="7" t="n">
        <v>6</v>
      </c>
      <c r="E73" s="7" t="s">
        <v>236</v>
      </c>
      <c r="F73" s="7" t="s">
        <v>224</v>
      </c>
      <c r="G73" s="9" t="s">
        <v>53</v>
      </c>
      <c r="H73" s="10" t="s">
        <v>84</v>
      </c>
      <c r="I73" s="7" t="s">
        <v>237</v>
      </c>
    </row>
    <row r="75" customFormat="false" ht="15" hidden="false" customHeight="false" outlineLevel="0" collapsed="false">
      <c r="A75" s="13" t="s">
        <v>238</v>
      </c>
      <c r="D75" s="13" t="n">
        <f aca="false">SUM(D5:D73)</f>
        <v>302</v>
      </c>
    </row>
  </sheetData>
  <mergeCells count="9">
    <mergeCell ref="A1:I1"/>
    <mergeCell ref="A2:I2"/>
    <mergeCell ref="A5:I5"/>
    <mergeCell ref="A16:I16"/>
    <mergeCell ref="A27:I27"/>
    <mergeCell ref="A36:I36"/>
    <mergeCell ref="A44:I44"/>
    <mergeCell ref="A52:I52"/>
    <mergeCell ref="A61:I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6" min="5" style="0" width="1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239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240</v>
      </c>
      <c r="B3" s="3" t="s">
        <v>84</v>
      </c>
      <c r="C3" s="3" t="s">
        <v>241</v>
      </c>
      <c r="D3" s="3" t="s">
        <v>242</v>
      </c>
      <c r="E3" s="3" t="s">
        <v>243</v>
      </c>
      <c r="F3" s="3" t="s">
        <v>8</v>
      </c>
      <c r="G3" s="3" t="s">
        <v>244</v>
      </c>
    </row>
    <row r="4" customFormat="false" ht="23.85" hidden="false" customHeight="false" outlineLevel="0" collapsed="false">
      <c r="A4" s="5" t="s">
        <v>245</v>
      </c>
      <c r="B4" s="5" t="s">
        <v>246</v>
      </c>
      <c r="C4" s="5" t="s">
        <v>247</v>
      </c>
      <c r="D4" s="5" t="s">
        <v>248</v>
      </c>
      <c r="E4" s="5" t="n">
        <v>100</v>
      </c>
      <c r="F4" s="9" t="s">
        <v>53</v>
      </c>
      <c r="G4" s="5"/>
    </row>
    <row r="5" customFormat="false" ht="23.85" hidden="false" customHeight="false" outlineLevel="0" collapsed="false">
      <c r="A5" s="7" t="s">
        <v>245</v>
      </c>
      <c r="B5" s="7" t="s">
        <v>249</v>
      </c>
      <c r="C5" s="7" t="s">
        <v>250</v>
      </c>
      <c r="D5" s="7" t="s">
        <v>251</v>
      </c>
      <c r="E5" s="7" t="n">
        <v>25</v>
      </c>
      <c r="F5" s="9" t="s">
        <v>53</v>
      </c>
      <c r="G5" s="7"/>
    </row>
    <row r="6" customFormat="false" ht="23.85" hidden="false" customHeight="false" outlineLevel="0" collapsed="false">
      <c r="A6" s="5" t="s">
        <v>245</v>
      </c>
      <c r="B6" s="5" t="s">
        <v>252</v>
      </c>
      <c r="C6" s="5" t="s">
        <v>247</v>
      </c>
      <c r="D6" s="5" t="s">
        <v>253</v>
      </c>
      <c r="E6" s="5" t="n">
        <v>50</v>
      </c>
      <c r="F6" s="9" t="s">
        <v>53</v>
      </c>
      <c r="G6" s="5"/>
    </row>
    <row r="7" customFormat="false" ht="23.85" hidden="false" customHeight="false" outlineLevel="0" collapsed="false">
      <c r="A7" s="7" t="s">
        <v>254</v>
      </c>
      <c r="B7" s="7" t="s">
        <v>255</v>
      </c>
      <c r="C7" s="7" t="s">
        <v>247</v>
      </c>
      <c r="D7" s="7" t="s">
        <v>256</v>
      </c>
      <c r="E7" s="7" t="n">
        <v>20</v>
      </c>
      <c r="F7" s="9" t="s">
        <v>53</v>
      </c>
      <c r="G7" s="7"/>
    </row>
    <row r="8" customFormat="false" ht="23.85" hidden="false" customHeight="false" outlineLevel="0" collapsed="false">
      <c r="A8" s="5" t="s">
        <v>254</v>
      </c>
      <c r="B8" s="5" t="s">
        <v>257</v>
      </c>
      <c r="C8" s="5" t="s">
        <v>32</v>
      </c>
      <c r="D8" s="5" t="s">
        <v>258</v>
      </c>
      <c r="E8" s="5" t="n">
        <v>10</v>
      </c>
      <c r="F8" s="9" t="s">
        <v>53</v>
      </c>
      <c r="G8" s="5"/>
    </row>
    <row r="9" customFormat="false" ht="15" hidden="false" customHeight="false" outlineLevel="0" collapsed="false">
      <c r="A9" s="7" t="s">
        <v>254</v>
      </c>
      <c r="B9" s="7" t="s">
        <v>259</v>
      </c>
      <c r="C9" s="7" t="s">
        <v>260</v>
      </c>
      <c r="D9" s="7" t="s">
        <v>261</v>
      </c>
      <c r="E9" s="7" t="n">
        <v>15</v>
      </c>
      <c r="F9" s="9" t="s">
        <v>53</v>
      </c>
      <c r="G9" s="7"/>
    </row>
    <row r="10" customFormat="false" ht="23.85" hidden="false" customHeight="false" outlineLevel="0" collapsed="false">
      <c r="A10" s="5" t="s">
        <v>262</v>
      </c>
      <c r="B10" s="5" t="s">
        <v>263</v>
      </c>
      <c r="C10" s="5" t="s">
        <v>32</v>
      </c>
      <c r="D10" s="5" t="s">
        <v>264</v>
      </c>
      <c r="E10" s="5" t="n">
        <v>10</v>
      </c>
      <c r="F10" s="9" t="s">
        <v>53</v>
      </c>
      <c r="G10" s="5"/>
    </row>
    <row r="11" customFormat="false" ht="23.85" hidden="false" customHeight="false" outlineLevel="0" collapsed="false">
      <c r="A11" s="7" t="s">
        <v>262</v>
      </c>
      <c r="B11" s="7" t="s">
        <v>265</v>
      </c>
      <c r="C11" s="7" t="s">
        <v>247</v>
      </c>
      <c r="D11" s="7" t="s">
        <v>266</v>
      </c>
      <c r="E11" s="7" t="n">
        <v>10</v>
      </c>
      <c r="F11" s="9" t="s">
        <v>53</v>
      </c>
      <c r="G11" s="7"/>
    </row>
    <row r="12" customFormat="false" ht="15" hidden="false" customHeight="false" outlineLevel="0" collapsed="false">
      <c r="A12" s="5" t="s">
        <v>262</v>
      </c>
      <c r="B12" s="5" t="s">
        <v>267</v>
      </c>
      <c r="C12" s="5" t="s">
        <v>268</v>
      </c>
      <c r="D12" s="5" t="s">
        <v>269</v>
      </c>
      <c r="E12" s="5" t="n">
        <v>5</v>
      </c>
      <c r="F12" s="9" t="s">
        <v>53</v>
      </c>
      <c r="G12" s="5"/>
    </row>
    <row r="13" customFormat="false" ht="23.85" hidden="false" customHeight="false" outlineLevel="0" collapsed="false">
      <c r="A13" s="7" t="s">
        <v>270</v>
      </c>
      <c r="B13" s="7" t="s">
        <v>271</v>
      </c>
      <c r="C13" s="7" t="s">
        <v>247</v>
      </c>
      <c r="D13" s="7" t="s">
        <v>272</v>
      </c>
      <c r="E13" s="7" t="n">
        <v>15</v>
      </c>
      <c r="F13" s="9" t="s">
        <v>53</v>
      </c>
      <c r="G13" s="7"/>
    </row>
    <row r="14" customFormat="false" ht="23.85" hidden="false" customHeight="false" outlineLevel="0" collapsed="false">
      <c r="A14" s="5" t="s">
        <v>270</v>
      </c>
      <c r="B14" s="5" t="s">
        <v>273</v>
      </c>
      <c r="C14" s="5" t="s">
        <v>247</v>
      </c>
      <c r="D14" s="5" t="s">
        <v>274</v>
      </c>
      <c r="E14" s="5" t="n">
        <v>10</v>
      </c>
      <c r="F14" s="9" t="s">
        <v>53</v>
      </c>
      <c r="G14" s="5"/>
    </row>
    <row r="15" customFormat="false" ht="23.85" hidden="false" customHeight="false" outlineLevel="0" collapsed="false">
      <c r="A15" s="7" t="s">
        <v>270</v>
      </c>
      <c r="B15" s="7" t="s">
        <v>275</v>
      </c>
      <c r="C15" s="7" t="s">
        <v>32</v>
      </c>
      <c r="D15" s="7" t="s">
        <v>276</v>
      </c>
      <c r="E15" s="7" t="n">
        <v>5</v>
      </c>
      <c r="F15" s="9" t="s">
        <v>53</v>
      </c>
      <c r="G15" s="7"/>
    </row>
    <row r="16" customFormat="false" ht="15" hidden="false" customHeight="false" outlineLevel="0" collapsed="false">
      <c r="A16" s="5" t="s">
        <v>277</v>
      </c>
      <c r="B16" s="5" t="s">
        <v>278</v>
      </c>
      <c r="C16" s="5" t="s">
        <v>279</v>
      </c>
      <c r="D16" s="5" t="s">
        <v>280</v>
      </c>
      <c r="E16" s="5" t="n">
        <v>1</v>
      </c>
      <c r="F16" s="9" t="s">
        <v>53</v>
      </c>
      <c r="G16" s="5"/>
    </row>
    <row r="17" customFormat="false" ht="23.85" hidden="false" customHeight="false" outlineLevel="0" collapsed="false">
      <c r="A17" s="7" t="s">
        <v>277</v>
      </c>
      <c r="B17" s="7" t="s">
        <v>281</v>
      </c>
      <c r="C17" s="7" t="s">
        <v>282</v>
      </c>
      <c r="D17" s="7" t="s">
        <v>283</v>
      </c>
      <c r="E17" s="7" t="n">
        <v>20</v>
      </c>
      <c r="F17" s="9" t="s">
        <v>53</v>
      </c>
      <c r="G17" s="7"/>
    </row>
    <row r="18" customFormat="false" ht="15" hidden="false" customHeight="false" outlineLevel="0" collapsed="false">
      <c r="A18" s="5" t="s">
        <v>277</v>
      </c>
      <c r="B18" s="5" t="s">
        <v>284</v>
      </c>
      <c r="C18" s="5" t="s">
        <v>250</v>
      </c>
      <c r="D18" s="5" t="s">
        <v>285</v>
      </c>
      <c r="E18" s="5" t="n">
        <v>3</v>
      </c>
      <c r="F18" s="9" t="s">
        <v>53</v>
      </c>
      <c r="G18" s="5"/>
    </row>
    <row r="19" customFormat="false" ht="15" hidden="false" customHeight="false" outlineLevel="0" collapsed="false">
      <c r="A19" s="7" t="s">
        <v>286</v>
      </c>
      <c r="B19" s="7" t="s">
        <v>287</v>
      </c>
      <c r="C19" s="7" t="s">
        <v>220</v>
      </c>
      <c r="D19" s="7" t="s">
        <v>288</v>
      </c>
      <c r="E19" s="7" t="n">
        <v>15</v>
      </c>
      <c r="F19" s="9" t="s">
        <v>53</v>
      </c>
      <c r="G19" s="7"/>
    </row>
    <row r="20" customFormat="false" ht="23.85" hidden="false" customHeight="false" outlineLevel="0" collapsed="false">
      <c r="A20" s="5" t="s">
        <v>286</v>
      </c>
      <c r="B20" s="5" t="s">
        <v>289</v>
      </c>
      <c r="C20" s="5" t="s">
        <v>282</v>
      </c>
      <c r="D20" s="5" t="s">
        <v>290</v>
      </c>
      <c r="E20" s="5" t="n">
        <v>1</v>
      </c>
      <c r="F20" s="9" t="s">
        <v>53</v>
      </c>
      <c r="G20" s="5"/>
    </row>
    <row r="21" customFormat="false" ht="23.85" hidden="false" customHeight="false" outlineLevel="0" collapsed="false">
      <c r="A21" s="7" t="s">
        <v>286</v>
      </c>
      <c r="B21" s="7" t="s">
        <v>291</v>
      </c>
      <c r="C21" s="7" t="s">
        <v>260</v>
      </c>
      <c r="D21" s="7" t="s">
        <v>292</v>
      </c>
      <c r="E21" s="7" t="n">
        <v>50</v>
      </c>
      <c r="F21" s="9" t="s">
        <v>53</v>
      </c>
      <c r="G21" s="7"/>
    </row>
    <row r="22" customFormat="false" ht="23.85" hidden="false" customHeight="false" outlineLevel="0" collapsed="false">
      <c r="A22" s="5" t="s">
        <v>286</v>
      </c>
      <c r="B22" s="5" t="s">
        <v>293</v>
      </c>
      <c r="C22" s="5" t="s">
        <v>294</v>
      </c>
      <c r="D22" s="5" t="s">
        <v>295</v>
      </c>
      <c r="E22" s="5" t="n">
        <v>10</v>
      </c>
      <c r="F22" s="9" t="s">
        <v>53</v>
      </c>
      <c r="G22" s="5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0"/>
    <col collapsed="false" customWidth="true" hidden="false" outlineLevel="0" max="13" min="2" style="0" width="10"/>
  </cols>
  <sheetData>
    <row r="1" customFormat="false" ht="17.35" hidden="false" customHeight="false" outlineLevel="0" collapsed="false">
      <c r="A1" s="1" t="s">
        <v>296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15" hidden="false" customHeight="false" outlineLevel="0" collapsed="false">
      <c r="A3" s="3" t="s">
        <v>297</v>
      </c>
      <c r="B3" s="3" t="s">
        <v>298</v>
      </c>
      <c r="C3" s="3" t="s">
        <v>299</v>
      </c>
      <c r="D3" s="3" t="s">
        <v>300</v>
      </c>
      <c r="E3" s="3" t="s">
        <v>301</v>
      </c>
      <c r="F3" s="3" t="s">
        <v>302</v>
      </c>
      <c r="G3" s="3" t="s">
        <v>303</v>
      </c>
      <c r="H3" s="3" t="s">
        <v>304</v>
      </c>
      <c r="I3" s="3" t="s">
        <v>305</v>
      </c>
      <c r="J3" s="3" t="s">
        <v>306</v>
      </c>
      <c r="K3" s="3" t="s">
        <v>307</v>
      </c>
      <c r="L3" s="3" t="s">
        <v>308</v>
      </c>
      <c r="M3" s="3" t="s">
        <v>309</v>
      </c>
    </row>
    <row r="4" customFormat="false" ht="15" hidden="false" customHeight="false" outlineLevel="0" collapsed="false">
      <c r="A4" s="14"/>
      <c r="B4" s="14" t="s">
        <v>310</v>
      </c>
      <c r="C4" s="14" t="s">
        <v>311</v>
      </c>
      <c r="D4" s="14" t="s">
        <v>312</v>
      </c>
      <c r="E4" s="14" t="s">
        <v>313</v>
      </c>
      <c r="F4" s="14" t="s">
        <v>314</v>
      </c>
      <c r="G4" s="14" t="s">
        <v>315</v>
      </c>
      <c r="H4" s="14" t="s">
        <v>316</v>
      </c>
      <c r="I4" s="14" t="s">
        <v>317</v>
      </c>
      <c r="J4" s="14" t="s">
        <v>318</v>
      </c>
      <c r="K4" s="14" t="s">
        <v>319</v>
      </c>
      <c r="L4" s="14" t="s">
        <v>320</v>
      </c>
      <c r="M4" s="14" t="s">
        <v>321</v>
      </c>
    </row>
    <row r="5" customFormat="false" ht="15" hidden="false" customHeight="false" outlineLevel="0" collapsed="false">
      <c r="A5" s="15" t="s">
        <v>322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</row>
    <row r="6" customFormat="false" ht="15" hidden="false" customHeight="false" outlineLevel="0" collapsed="false">
      <c r="A6" s="5" t="s">
        <v>323</v>
      </c>
      <c r="B6" s="17"/>
      <c r="C6" s="17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customFormat="false" ht="15" hidden="false" customHeight="false" outlineLevel="0" collapsed="false">
      <c r="A7" s="5" t="s">
        <v>324</v>
      </c>
      <c r="B7" s="18"/>
      <c r="C7" s="18"/>
      <c r="D7" s="17"/>
      <c r="E7" s="17"/>
      <c r="F7" s="18"/>
      <c r="G7" s="18"/>
      <c r="H7" s="18"/>
      <c r="I7" s="18"/>
      <c r="J7" s="18"/>
      <c r="K7" s="18"/>
      <c r="L7" s="18"/>
      <c r="M7" s="18"/>
    </row>
    <row r="8" customFormat="false" ht="15" hidden="false" customHeight="false" outlineLevel="0" collapsed="false">
      <c r="A8" s="5" t="s">
        <v>325</v>
      </c>
      <c r="B8" s="18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</row>
    <row r="9" customFormat="false" ht="15" hidden="false" customHeight="false" outlineLevel="0" collapsed="false">
      <c r="A9" s="5" t="s">
        <v>326</v>
      </c>
      <c r="B9" s="18"/>
      <c r="C9" s="18"/>
      <c r="D9" s="18"/>
      <c r="E9" s="18"/>
      <c r="F9" s="18"/>
      <c r="G9" s="18"/>
      <c r="H9" s="17"/>
      <c r="I9" s="17"/>
      <c r="J9" s="18"/>
      <c r="K9" s="18"/>
      <c r="L9" s="18"/>
      <c r="M9" s="18"/>
    </row>
    <row r="10" customFormat="false" ht="15" hidden="false" customHeight="false" outlineLevel="0" collapsed="false">
      <c r="A10" s="5" t="s">
        <v>327</v>
      </c>
      <c r="B10" s="18"/>
      <c r="C10" s="18"/>
      <c r="D10" s="18"/>
      <c r="E10" s="18"/>
      <c r="F10" s="18"/>
      <c r="G10" s="18"/>
      <c r="H10" s="18"/>
      <c r="I10" s="18"/>
      <c r="J10" s="17"/>
      <c r="K10" s="17"/>
      <c r="L10" s="18"/>
      <c r="M10" s="18"/>
    </row>
    <row r="11" customFormat="false" ht="15" hidden="false" customHeight="false" outlineLevel="0" collapsed="false">
      <c r="A11" s="5" t="s">
        <v>328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9"/>
      <c r="M11" s="19"/>
    </row>
    <row r="12" customFormat="false" ht="15" hidden="false" customHeight="false" outlineLevel="0" collapsed="false">
      <c r="A12" s="5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customFormat="false" ht="15" hidden="false" customHeight="false" outlineLevel="0" collapsed="false">
      <c r="A13" s="15" t="s">
        <v>329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4" customFormat="false" ht="15" hidden="false" customHeight="false" outlineLevel="0" collapsed="false">
      <c r="A14" s="5" t="s">
        <v>330</v>
      </c>
      <c r="B14" s="20"/>
      <c r="C14" s="20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customFormat="false" ht="15" hidden="false" customHeight="false" outlineLevel="0" collapsed="false">
      <c r="A15" s="5" t="s">
        <v>331</v>
      </c>
      <c r="B15" s="18"/>
      <c r="C15" s="20"/>
      <c r="D15" s="20"/>
      <c r="E15" s="20"/>
      <c r="F15" s="18"/>
      <c r="G15" s="18"/>
      <c r="H15" s="18"/>
      <c r="I15" s="18"/>
      <c r="J15" s="18"/>
      <c r="K15" s="18"/>
      <c r="L15" s="18"/>
      <c r="M15" s="18"/>
    </row>
    <row r="16" customFormat="false" ht="15" hidden="false" customHeight="false" outlineLevel="0" collapsed="false">
      <c r="A16" s="5" t="s">
        <v>332</v>
      </c>
      <c r="B16" s="18"/>
      <c r="C16" s="18"/>
      <c r="D16" s="18"/>
      <c r="E16" s="18"/>
      <c r="F16" s="20"/>
      <c r="G16" s="20"/>
      <c r="H16" s="20"/>
      <c r="I16" s="20"/>
      <c r="J16" s="18"/>
      <c r="K16" s="18"/>
      <c r="L16" s="18"/>
      <c r="M16" s="18"/>
    </row>
    <row r="17" customFormat="false" ht="15" hidden="false" customHeight="false" outlineLevel="0" collapsed="false">
      <c r="A17" s="5" t="s">
        <v>333</v>
      </c>
      <c r="B17" s="18"/>
      <c r="C17" s="18"/>
      <c r="D17" s="18"/>
      <c r="E17" s="18"/>
      <c r="F17" s="18"/>
      <c r="G17" s="18"/>
      <c r="H17" s="20"/>
      <c r="I17" s="20"/>
      <c r="J17" s="18"/>
      <c r="K17" s="18"/>
      <c r="L17" s="18"/>
      <c r="M17" s="18"/>
    </row>
    <row r="18" customFormat="false" ht="15" hidden="false" customHeight="false" outlineLevel="0" collapsed="false">
      <c r="A18" s="5" t="s">
        <v>334</v>
      </c>
      <c r="B18" s="18"/>
      <c r="C18" s="18"/>
      <c r="D18" s="18"/>
      <c r="E18" s="18"/>
      <c r="F18" s="18"/>
      <c r="G18" s="18"/>
      <c r="H18" s="18"/>
      <c r="I18" s="18"/>
      <c r="J18" s="20"/>
      <c r="K18" s="20"/>
      <c r="L18" s="18"/>
      <c r="M18" s="18"/>
    </row>
    <row r="19" customFormat="false" ht="15" hidden="false" customHeight="false" outlineLevel="0" collapsed="false">
      <c r="A19" s="5" t="s">
        <v>335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20"/>
      <c r="M19" s="20"/>
    </row>
    <row r="20" customFormat="false" ht="15" hidden="false" customHeight="false" outlineLevel="0" collapsed="false">
      <c r="A20" s="5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customFormat="false" ht="15" hidden="false" customHeight="false" outlineLevel="0" collapsed="false">
      <c r="A21" s="15" t="s">
        <v>336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</row>
    <row r="22" customFormat="false" ht="15" hidden="false" customHeight="false" outlineLevel="0" collapsed="false">
      <c r="A22" s="5" t="s">
        <v>337</v>
      </c>
      <c r="B22" s="21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customFormat="false" ht="15" hidden="false" customHeight="false" outlineLevel="0" collapsed="false">
      <c r="A23" s="5" t="s">
        <v>338</v>
      </c>
      <c r="B23" s="18"/>
      <c r="C23" s="18"/>
      <c r="D23" s="21"/>
      <c r="E23" s="21"/>
      <c r="F23" s="18"/>
      <c r="G23" s="18"/>
      <c r="H23" s="18"/>
      <c r="I23" s="18"/>
      <c r="J23" s="18"/>
      <c r="K23" s="18"/>
      <c r="L23" s="18"/>
      <c r="M23" s="18"/>
    </row>
    <row r="24" customFormat="false" ht="15" hidden="false" customHeight="false" outlineLevel="0" collapsed="false">
      <c r="A24" s="5" t="s">
        <v>339</v>
      </c>
      <c r="B24" s="18"/>
      <c r="C24" s="18"/>
      <c r="D24" s="18"/>
      <c r="E24" s="18"/>
      <c r="F24" s="21"/>
      <c r="G24" s="21"/>
      <c r="H24" s="18"/>
      <c r="I24" s="18"/>
      <c r="J24" s="18"/>
      <c r="K24" s="18"/>
      <c r="L24" s="18"/>
      <c r="M24" s="18"/>
    </row>
    <row r="25" customFormat="false" ht="15" hidden="false" customHeight="false" outlineLevel="0" collapsed="false">
      <c r="A25" s="5" t="s">
        <v>340</v>
      </c>
      <c r="B25" s="18"/>
      <c r="C25" s="18"/>
      <c r="D25" s="18"/>
      <c r="E25" s="18"/>
      <c r="F25" s="18"/>
      <c r="G25" s="21"/>
      <c r="H25" s="18"/>
      <c r="I25" s="18"/>
      <c r="J25" s="18"/>
      <c r="K25" s="18"/>
      <c r="L25" s="18"/>
      <c r="M25" s="18"/>
    </row>
    <row r="26" customFormat="false" ht="15" hidden="false" customHeight="false" outlineLevel="0" collapsed="false">
      <c r="A26" s="5" t="s">
        <v>341</v>
      </c>
      <c r="B26" s="18"/>
      <c r="C26" s="18"/>
      <c r="D26" s="18"/>
      <c r="E26" s="18"/>
      <c r="F26" s="18"/>
      <c r="G26" s="18"/>
      <c r="H26" s="18"/>
      <c r="I26" s="18"/>
      <c r="J26" s="18"/>
      <c r="K26" s="21"/>
      <c r="L26" s="18"/>
      <c r="M26" s="18"/>
    </row>
    <row r="27" customFormat="false" ht="15" hidden="false" customHeight="false" outlineLevel="0" collapsed="false">
      <c r="A27" s="5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customFormat="false" ht="15" hidden="false" customHeight="false" outlineLevel="0" collapsed="false">
      <c r="A28" s="15" t="s">
        <v>342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</row>
    <row r="29" customFormat="false" ht="15" hidden="false" customHeight="false" outlineLevel="0" collapsed="false">
      <c r="A29" s="5" t="s">
        <v>343</v>
      </c>
      <c r="B29" s="22"/>
      <c r="C29" s="22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customFormat="false" ht="15" hidden="false" customHeight="false" outlineLevel="0" collapsed="false">
      <c r="A30" s="5" t="s">
        <v>344</v>
      </c>
      <c r="B30" s="18"/>
      <c r="C30" s="18"/>
      <c r="D30" s="22"/>
      <c r="E30" s="22"/>
      <c r="F30" s="18"/>
      <c r="G30" s="18"/>
      <c r="H30" s="18"/>
      <c r="I30" s="18"/>
      <c r="J30" s="18"/>
      <c r="K30" s="18"/>
      <c r="L30" s="18"/>
      <c r="M30" s="18"/>
    </row>
    <row r="31" customFormat="false" ht="15" hidden="false" customHeight="false" outlineLevel="0" collapsed="false">
      <c r="A31" s="5" t="s">
        <v>345</v>
      </c>
      <c r="B31" s="18"/>
      <c r="C31" s="18"/>
      <c r="D31" s="18"/>
      <c r="E31" s="18"/>
      <c r="F31" s="22"/>
      <c r="G31" s="22"/>
      <c r="H31" s="18"/>
      <c r="I31" s="18"/>
      <c r="J31" s="18"/>
      <c r="K31" s="18"/>
      <c r="L31" s="18"/>
      <c r="M31" s="18"/>
    </row>
    <row r="32" customFormat="false" ht="15" hidden="false" customHeight="false" outlineLevel="0" collapsed="false">
      <c r="A32" s="5" t="s">
        <v>346</v>
      </c>
      <c r="B32" s="18"/>
      <c r="C32" s="18"/>
      <c r="D32" s="18"/>
      <c r="E32" s="18"/>
      <c r="F32" s="18"/>
      <c r="G32" s="18"/>
      <c r="H32" s="22"/>
      <c r="I32" s="22"/>
      <c r="J32" s="18"/>
      <c r="K32" s="18"/>
      <c r="L32" s="18"/>
      <c r="M32" s="18"/>
    </row>
    <row r="33" customFormat="false" ht="15" hidden="false" customHeight="false" outlineLevel="0" collapsed="false">
      <c r="A33" s="5" t="s">
        <v>347</v>
      </c>
      <c r="B33" s="18"/>
      <c r="C33" s="18"/>
      <c r="D33" s="18"/>
      <c r="E33" s="18"/>
      <c r="F33" s="18"/>
      <c r="G33" s="18"/>
      <c r="H33" s="18"/>
      <c r="I33" s="18"/>
      <c r="J33" s="22"/>
      <c r="K33" s="22"/>
      <c r="L33" s="18"/>
      <c r="M33" s="18"/>
    </row>
    <row r="34" customFormat="false" ht="15" hidden="false" customHeight="false" outlineLevel="0" collapsed="false">
      <c r="A34" s="5" t="s">
        <v>348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22"/>
      <c r="M34" s="22"/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35"/>
    <col collapsed="false" customWidth="true" hidden="false" outlineLevel="0" max="3" min="3" style="0" width="12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349</v>
      </c>
      <c r="B1" s="1"/>
      <c r="C1" s="1"/>
      <c r="D1" s="1"/>
      <c r="E1" s="1"/>
    </row>
    <row r="3" customFormat="false" ht="15" hidden="false" customHeight="false" outlineLevel="0" collapsed="false">
      <c r="A3" s="3" t="s">
        <v>350</v>
      </c>
      <c r="B3" s="3" t="s">
        <v>351</v>
      </c>
      <c r="C3" s="3" t="s">
        <v>4</v>
      </c>
      <c r="D3" s="3" t="s">
        <v>352</v>
      </c>
      <c r="E3" s="3" t="s">
        <v>8</v>
      </c>
    </row>
    <row r="4" customFormat="false" ht="15" hidden="false" customHeight="false" outlineLevel="0" collapsed="false">
      <c r="A4" s="5" t="s">
        <v>353</v>
      </c>
      <c r="B4" s="5" t="s">
        <v>354</v>
      </c>
      <c r="C4" s="5" t="s">
        <v>14</v>
      </c>
      <c r="D4" s="5" t="s">
        <v>355</v>
      </c>
      <c r="E4" s="23" t="s">
        <v>356</v>
      </c>
    </row>
    <row r="5" customFormat="false" ht="15" hidden="false" customHeight="false" outlineLevel="0" collapsed="false">
      <c r="A5" s="7" t="s">
        <v>357</v>
      </c>
      <c r="B5" s="7" t="s">
        <v>358</v>
      </c>
      <c r="C5" s="7" t="s">
        <v>14</v>
      </c>
      <c r="D5" s="7" t="s">
        <v>359</v>
      </c>
      <c r="E5" s="9" t="s">
        <v>53</v>
      </c>
    </row>
    <row r="6" customFormat="false" ht="15" hidden="false" customHeight="false" outlineLevel="0" collapsed="false">
      <c r="A6" s="5" t="s">
        <v>360</v>
      </c>
      <c r="B6" s="5" t="s">
        <v>361</v>
      </c>
      <c r="C6" s="5" t="s">
        <v>14</v>
      </c>
      <c r="D6" s="5" t="s">
        <v>359</v>
      </c>
      <c r="E6" s="9" t="s">
        <v>53</v>
      </c>
    </row>
    <row r="7" customFormat="false" ht="15" hidden="false" customHeight="false" outlineLevel="0" collapsed="false">
      <c r="A7" s="7" t="s">
        <v>362</v>
      </c>
      <c r="B7" s="7" t="s">
        <v>363</v>
      </c>
      <c r="C7" s="7" t="s">
        <v>14</v>
      </c>
      <c r="D7" s="7" t="s">
        <v>364</v>
      </c>
      <c r="E7" s="9" t="s">
        <v>53</v>
      </c>
    </row>
    <row r="8" customFormat="false" ht="15" hidden="false" customHeight="false" outlineLevel="0" collapsed="false">
      <c r="A8" s="5" t="s">
        <v>365</v>
      </c>
      <c r="B8" s="5" t="s">
        <v>366</v>
      </c>
      <c r="C8" s="5" t="s">
        <v>14</v>
      </c>
      <c r="D8" s="5" t="s">
        <v>364</v>
      </c>
      <c r="E8" s="9" t="s">
        <v>53</v>
      </c>
    </row>
    <row r="9" customFormat="false" ht="15" hidden="false" customHeight="false" outlineLevel="0" collapsed="false">
      <c r="A9" s="7" t="s">
        <v>367</v>
      </c>
      <c r="B9" s="7" t="s">
        <v>368</v>
      </c>
      <c r="C9" s="7" t="s">
        <v>14</v>
      </c>
      <c r="D9" s="7" t="s">
        <v>369</v>
      </c>
      <c r="E9" s="9" t="s">
        <v>53</v>
      </c>
    </row>
    <row r="10" customFormat="false" ht="15" hidden="false" customHeight="false" outlineLevel="0" collapsed="false">
      <c r="A10" s="5" t="s">
        <v>370</v>
      </c>
      <c r="B10" s="5" t="s">
        <v>371</v>
      </c>
      <c r="C10" s="5" t="s">
        <v>14</v>
      </c>
      <c r="D10" s="5" t="s">
        <v>372</v>
      </c>
      <c r="E10" s="9" t="s">
        <v>53</v>
      </c>
    </row>
    <row r="11" customFormat="false" ht="15" hidden="false" customHeight="false" outlineLevel="0" collapsed="false">
      <c r="A11" s="7" t="s">
        <v>373</v>
      </c>
      <c r="B11" s="7" t="s">
        <v>374</v>
      </c>
      <c r="C11" s="7" t="s">
        <v>14</v>
      </c>
      <c r="D11" s="7" t="s">
        <v>375</v>
      </c>
      <c r="E11" s="9" t="s">
        <v>53</v>
      </c>
    </row>
    <row r="12" customFormat="false" ht="15" hidden="false" customHeight="false" outlineLevel="0" collapsed="false">
      <c r="A12" s="5" t="s">
        <v>376</v>
      </c>
      <c r="B12" s="5" t="s">
        <v>377</v>
      </c>
      <c r="C12" s="5" t="s">
        <v>14</v>
      </c>
      <c r="D12" s="5" t="s">
        <v>378</v>
      </c>
      <c r="E12" s="9" t="s">
        <v>53</v>
      </c>
    </row>
    <row r="13" customFormat="false" ht="15" hidden="false" customHeight="false" outlineLevel="0" collapsed="false">
      <c r="A13" s="7" t="s">
        <v>379</v>
      </c>
      <c r="B13" s="7" t="s">
        <v>380</v>
      </c>
      <c r="C13" s="7" t="s">
        <v>14</v>
      </c>
      <c r="D13" s="7" t="s">
        <v>381</v>
      </c>
      <c r="E13" s="9" t="s">
        <v>53</v>
      </c>
    </row>
    <row r="14" customFormat="false" ht="15" hidden="false" customHeight="false" outlineLevel="0" collapsed="false">
      <c r="A14" s="5" t="s">
        <v>382</v>
      </c>
      <c r="B14" s="5" t="s">
        <v>383</v>
      </c>
      <c r="C14" s="5" t="s">
        <v>14</v>
      </c>
      <c r="D14" s="5" t="s">
        <v>384</v>
      </c>
      <c r="E14" s="9" t="s">
        <v>53</v>
      </c>
    </row>
    <row r="15" customFormat="false" ht="15" hidden="false" customHeight="false" outlineLevel="0" collapsed="false">
      <c r="A15" s="7" t="s">
        <v>385</v>
      </c>
      <c r="B15" s="7" t="s">
        <v>386</v>
      </c>
      <c r="C15" s="7" t="s">
        <v>14</v>
      </c>
      <c r="D15" s="7" t="s">
        <v>387</v>
      </c>
      <c r="E15" s="9" t="s">
        <v>53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5"/>
    <col collapsed="false" customWidth="true" hidden="false" outlineLevel="0" max="4" min="2" style="0" width="12"/>
  </cols>
  <sheetData>
    <row r="1" customFormat="false" ht="17.35" hidden="false" customHeight="false" outlineLevel="0" collapsed="false">
      <c r="A1" s="1" t="s">
        <v>388</v>
      </c>
      <c r="B1" s="1"/>
      <c r="C1" s="1"/>
      <c r="D1" s="1"/>
    </row>
    <row r="3" customFormat="false" ht="26.85" hidden="false" customHeight="false" outlineLevel="0" collapsed="false">
      <c r="A3" s="3" t="s">
        <v>240</v>
      </c>
      <c r="B3" s="3" t="s">
        <v>389</v>
      </c>
      <c r="C3" s="3" t="s">
        <v>390</v>
      </c>
      <c r="D3" s="3" t="s">
        <v>391</v>
      </c>
    </row>
    <row r="4" customFormat="false" ht="15" hidden="false" customHeight="false" outlineLevel="0" collapsed="false">
      <c r="A4" s="6" t="s">
        <v>392</v>
      </c>
      <c r="B4" s="6" t="n">
        <v>42</v>
      </c>
      <c r="C4" s="6" t="n">
        <v>0</v>
      </c>
      <c r="D4" s="6" t="n">
        <v>42</v>
      </c>
    </row>
    <row r="5" customFormat="false" ht="15" hidden="false" customHeight="false" outlineLevel="0" collapsed="false">
      <c r="A5" s="7" t="s">
        <v>323</v>
      </c>
      <c r="B5" s="7" t="n">
        <v>47</v>
      </c>
      <c r="C5" s="7" t="n">
        <v>8</v>
      </c>
      <c r="D5" s="7" t="n">
        <v>55</v>
      </c>
    </row>
    <row r="6" customFormat="false" ht="15" hidden="false" customHeight="false" outlineLevel="0" collapsed="false">
      <c r="A6" s="5" t="s">
        <v>324</v>
      </c>
      <c r="B6" s="5" t="n">
        <v>33</v>
      </c>
      <c r="C6" s="5" t="n">
        <v>6</v>
      </c>
      <c r="D6" s="5" t="n">
        <v>39</v>
      </c>
    </row>
    <row r="7" customFormat="false" ht="15" hidden="false" customHeight="false" outlineLevel="0" collapsed="false">
      <c r="A7" s="7" t="s">
        <v>325</v>
      </c>
      <c r="B7" s="7" t="n">
        <v>36</v>
      </c>
      <c r="C7" s="7" t="n">
        <v>6</v>
      </c>
      <c r="D7" s="7" t="n">
        <v>42</v>
      </c>
    </row>
    <row r="8" customFormat="false" ht="15" hidden="false" customHeight="false" outlineLevel="0" collapsed="false">
      <c r="A8" s="5" t="s">
        <v>326</v>
      </c>
      <c r="B8" s="5" t="n">
        <v>32</v>
      </c>
      <c r="C8" s="5" t="n">
        <v>6</v>
      </c>
      <c r="D8" s="5" t="n">
        <v>38</v>
      </c>
    </row>
    <row r="9" customFormat="false" ht="15" hidden="false" customHeight="false" outlineLevel="0" collapsed="false">
      <c r="A9" s="7" t="s">
        <v>327</v>
      </c>
      <c r="B9" s="7" t="n">
        <v>35</v>
      </c>
      <c r="C9" s="7" t="n">
        <v>6</v>
      </c>
      <c r="D9" s="7" t="n">
        <v>41</v>
      </c>
    </row>
    <row r="10" customFormat="false" ht="15" hidden="false" customHeight="false" outlineLevel="0" collapsed="false">
      <c r="A10" s="5" t="s">
        <v>328</v>
      </c>
      <c r="B10" s="5" t="n">
        <v>31</v>
      </c>
      <c r="C10" s="5" t="n">
        <v>18</v>
      </c>
      <c r="D10" s="5" t="n">
        <v>49</v>
      </c>
    </row>
    <row r="12" customFormat="false" ht="15" hidden="false" customHeight="false" outlineLevel="0" collapsed="false">
      <c r="A12" s="13" t="s">
        <v>393</v>
      </c>
      <c r="B12" s="13" t="n">
        <f aca="false">SUM(B4:B10)</f>
        <v>256</v>
      </c>
      <c r="C12" s="13" t="n">
        <f aca="false">SUM(C4:C10)</f>
        <v>50</v>
      </c>
      <c r="D12" s="13" t="n">
        <f aca="false">SUM(D4:D10)</f>
        <v>306</v>
      </c>
    </row>
    <row r="14" customFormat="false" ht="15" hidden="false" customHeight="false" outlineLevel="0" collapsed="false">
      <c r="A14" s="24" t="s">
        <v>394</v>
      </c>
      <c r="B14" s="0" t="n">
        <v>40</v>
      </c>
    </row>
    <row r="15" customFormat="false" ht="15" hidden="false" customHeight="false" outlineLevel="0" collapsed="false">
      <c r="A15" s="24" t="s">
        <v>395</v>
      </c>
      <c r="B15" s="25" t="n">
        <f aca="false">D12/B14</f>
        <v>7.65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2026-03-13T06:44:55Z</dcterms:created>
  <dc:creator>openpyxl</dc:creator>
  <dc:description/>
  <dc:language>en-US</dc:language>
  <cp:lastModifiedBy/>
  <dcterms:modified xsi:type="dcterms:W3CDTF">2026-03-13T06:44:55Z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