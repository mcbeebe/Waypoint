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ndings by Need Bucket" sheetId="1" state="visible" r:id="rId3"/>
    <sheet name="Bucket Summary" sheetId="2" state="visible" r:id="rId4"/>
    <sheet name="Persona Impact Matrix" sheetId="3" state="visible" r:id="rId5"/>
    <sheet name="GAS Feasibility" sheetId="4" state="visible" r:id="rId6"/>
    <sheet name="Priority Roadmap" sheetId="5" state="visible" r:id="rId7"/>
    <sheet name="Cross-Cutting Themes" sheetId="6" state="visible" r:id="rId8"/>
  </sheets>
  <definedNames>
    <definedName function="false" hidden="true" localSheetId="0" name="_xlnm._FilterDatabase" vbProcedure="false">'Findings by Need Bucket'!$A$1:$L$44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<sst xmlns="http://schemas.openxmlformats.org/spreadsheetml/2006/main" count="1646" uniqueCount="384">
  <si>
    <t xml:space="preserve">ID</t>
  </si>
  <si>
    <t xml:space="preserve">Memo Bucket</t>
  </si>
  <si>
    <t xml:space="preserve">Finding Type</t>
  </si>
  <si>
    <t xml:space="preserve">Severity</t>
  </si>
  <si>
    <t xml:space="preserve">Title</t>
  </si>
  <si>
    <t xml:space="preserve">Description</t>
  </si>
  <si>
    <t xml:space="preserve">Effort</t>
  </si>
  <si>
    <t xml:space="preserve">GAS Feasible?</t>
  </si>
  <si>
    <t xml:space="preserve">GAS Notes</t>
  </si>
  <si>
    <t xml:space="preserve">Priority Rank</t>
  </si>
  <si>
    <t xml:space="preserve">Affected Personas</t>
  </si>
  <si>
    <t xml:space="preserve">Persona Count</t>
  </si>
  <si>
    <t xml:space="preserve">BUG-01</t>
  </si>
  <si>
    <t xml:space="preserve">1. Rights &amp; Process Information</t>
  </si>
  <si>
    <t xml:space="preserve">Critical Bug</t>
  </si>
  <si>
    <t xml:space="preserve">Critical</t>
  </si>
  <si>
    <t xml:space="preserve">Spanish i18n Only Covers Landing Page</t>
  </si>
  <si>
    <t xml:space="preserve">Entire app after onboarding is English-only. Spanish-dominant users (30% of CA) cannot use dashboard, chat, articles, or action plans.</t>
  </si>
  <si>
    <t xml:space="preserve">Medium</t>
  </si>
  <si>
    <t xml:space="preserve">Yes</t>
  </si>
  <si>
    <t xml:space="preserve">GAS HtmlService supports dynamic string replacement. Store translations in Sheets. Swap strings based on user lang preference.</t>
  </si>
  <si>
    <t xml:space="preserve">1, 5</t>
  </si>
  <si>
    <t xml:space="preserve">BUG-05</t>
  </si>
  <si>
    <t xml:space="preserve">Diagnosis-to-Eligibility Mapping Errors</t>
  </si>
  <si>
    <t xml:space="preserve">ADHD-only users incorrectly directed to Regional Center. Autism users with normal IQ not told they qualify under 5th category. SLD users get minimal content.</t>
  </si>
  <si>
    <t xml:space="preserve">Fix generateRichPlan() logic to filter actions by diagnosis eligibility matrix. Pure code change.</t>
  </si>
  <si>
    <t xml:space="preserve">2, 3, 4</t>
  </si>
  <si>
    <t xml:space="preserve">IMP-01</t>
  </si>
  <si>
    <t xml:space="preserve">Improvement</t>
  </si>
  <si>
    <t xml:space="preserve">High</t>
  </si>
  <si>
    <t xml:space="preserve">Add Vietnamese Language Support</t>
  </si>
  <si>
    <t xml:space="preserve">Vietnamese is CA's 4th most spoken language. Tran family (grandparent caregivers) at suspension crisis with zero language support.</t>
  </si>
  <si>
    <t xml:space="preserve">Same i18n architecture as Spanish. Add VI strings to STRINGS object and translation sheets.</t>
  </si>
  <si>
    <t xml:space="preserve">9</t>
  </si>
  <si>
    <t xml:space="preserve">IMP-02</t>
  </si>
  <si>
    <t xml:space="preserve">Add Tagalog, Mandarin, Cantonese Support</t>
  </si>
  <si>
    <t xml:space="preserve">These 3 languages + Vietnamese + Spanish cover ~65% of CA non-English speakers.</t>
  </si>
  <si>
    <t xml:space="preserve">Large</t>
  </si>
  <si>
    <t xml:space="preserve">Same approach as Vietnamese. Larger translation effort but same architecture.</t>
  </si>
  <si>
    <t xml:space="preserve">Extended CA population</t>
  </si>
  <si>
    <t xml:space="preserve">IMP-03</t>
  </si>
  <si>
    <t xml:space="preserve">Expand Onboarding to Capture Key Demographics</t>
  </si>
  <si>
    <t xml:space="preserve">Missing: immigration concerns, military status, kinship/guardianship, rural location, language beyond EN/ES, parent disability, single parent status.</t>
  </si>
  <si>
    <t xml:space="preserve">Add onboarding screens/steps. Store in user profile Sheets. Use to customize plan generation.</t>
  </si>
  <si>
    <t xml:space="preserve">5, 6, 7, 9</t>
  </si>
  <si>
    <t xml:space="preserve">IMP-10</t>
  </si>
  <si>
    <t xml:space="preserve">Learn More Articles Should Link External Resources</t>
  </si>
  <si>
    <t xml:space="preserve">Articles don't link to DRC, SERR manual, CDE resources, TRICARE, RC websites, Medi-Cal lookup.</t>
  </si>
  <si>
    <t xml:space="preserve">Small</t>
  </si>
  <si>
    <t xml:space="preserve">Add href links to LEARN_MORE data objects. Simple content update.</t>
  </si>
  <si>
    <t xml:space="preserve">All</t>
  </si>
  <si>
    <t xml:space="preserve">IMP-15</t>
  </si>
  <si>
    <t xml:space="preserve">Surface Tone Escalation System in Chat UI</t>
  </si>
  <si>
    <t xml:space="preserve">Tone levels (collaborative→assertive→adversarial) exist but users don't know. No toggle or explanation in chat.</t>
  </si>
  <si>
    <t xml:space="preserve">Add UI toggle button in chat screen. Pass tone parameter to askWaypoint(). Already supported backend.</t>
  </si>
  <si>
    <t xml:space="preserve">3, 8, 10</t>
  </si>
  <si>
    <t xml:space="preserve">IMP-16</t>
  </si>
  <si>
    <t xml:space="preserve">RC Reimbursable List Should Explain Process</t>
  </si>
  <si>
    <t xml:space="preserve">Shows what's reimbursable but not HOW: forms, timelines, documentation needed, dispute process.</t>
  </si>
  <si>
    <t xml:space="preserve">Expand RC_REIMBURSABLE data structure with process fields. Render in expanded view.</t>
  </si>
  <si>
    <t xml:space="preserve">1, 5, 7, 9</t>
  </si>
  <si>
    <t xml:space="preserve">IMP-20</t>
  </si>
  <si>
    <t xml:space="preserve">Regulatory/Procedural Quick-Reference Cards</t>
  </si>
  <si>
    <t xml:space="preserve">Timelines scattered across articles. Need: IEP timeline card, RC referral card, appeal deadlines card, suspension rules card.</t>
  </si>
  <si>
    <t xml:space="preserve">Create new data structure for quick-ref cards. Render as modal or dashboard widget.</t>
  </si>
  <si>
    <t xml:space="preserve">IMP-21</t>
  </si>
  <si>
    <t xml:space="preserve">Personalized Resource Recommendations</t>
  </si>
  <si>
    <t xml:space="preserve">All users see same 40+ articles. Should filter by diagnosis, phase, urgency, language.</t>
  </si>
  <si>
    <t xml:space="preserve">Tag articles with metadata. Score relevance against user profile. Sort/filter in renderLearnMore().</t>
  </si>
  <si>
    <t xml:space="preserve">FEAT-08</t>
  </si>
  <si>
    <t xml:space="preserve">Large Feature</t>
  </si>
  <si>
    <t xml:space="preserve">Benefit Eligibility Calculator</t>
  </si>
  <si>
    <t xml:space="preserve">Interactive questionnaire → shows all programs family may qualify for (SSI, IHSS, Medi-Cal, CCS, CalWORKs, CalABLE).</t>
  </si>
  <si>
    <t xml:space="preserve">Decision-tree logic in Code.gs. Store eligibility rules in Sheets. Render results in HTML.</t>
  </si>
  <si>
    <t xml:space="preserve">FEAT-09</t>
  </si>
  <si>
    <t xml:space="preserve">Military Family Module</t>
  </si>
  <si>
    <t xml:space="preserve">EFMP integration, PCS transition checklists, TRICARE navigation, dual system coordination for military families.</t>
  </si>
  <si>
    <t xml:space="preserve">Content + onboarding flag. New KB entries for military. Conditional action plan generation.</t>
  </si>
  <si>
    <t xml:space="preserve">6</t>
  </si>
  <si>
    <t xml:space="preserve">BUG-02</t>
  </si>
  <si>
    <t xml:space="preserve">2. Advocacy &amp; Conflict Resolution</t>
  </si>
  <si>
    <t xml:space="preserve">Fragile Client-Side Email Analysis Regex</t>
  </si>
  <si>
    <t xml:space="preserve">Hardcoded patterns ("unfortunately", "at this time") produce false positives. AI analysis requires API key setup most users won't complete.</t>
  </si>
  <si>
    <t xml:space="preserve">Improve regex patterns. Add confidence scoring. Make AI analysis default (API key already in Code.gs).</t>
  </si>
  <si>
    <t xml:space="preserve">BUG-08</t>
  </si>
  <si>
    <t xml:space="preserve">Check-in Frustration Flow Actions Not Integrated into Dashboard</t>
  </si>
  <si>
    <t xml:space="preserve">Frustration flows generate escalation actions (4731 complaints, IEE requests) but they appear in modal and disappear. Not tracked in action list.</t>
  </si>
  <si>
    <t xml:space="preserve">Save frustration-generated actions to user's action plan in Sheets. Tag with "escalation" priority.</t>
  </si>
  <si>
    <t xml:space="preserve">1, 3, 5, 7, 9</t>
  </si>
  <si>
    <t xml:space="preserve">IMP-13</t>
  </si>
  <si>
    <t xml:space="preserve">Expand Draft Generation Templates</t>
  </si>
  <si>
    <t xml:space="preserve">Missing: PWN request, assessment request, records request, CDE/OCR complaints, IHSS appeal, 4731 complaint, manifestation determination challenge, AAC eval request.</t>
  </si>
  <si>
    <t xml:space="preserve">Add new draft types to generateDraft() in Code.gs. Each type needs system prompt + user context injection.</t>
  </si>
  <si>
    <t xml:space="preserve">3, 8, 9, 10</t>
  </si>
  <si>
    <t xml:space="preserve">IMP-19</t>
  </si>
  <si>
    <t xml:space="preserve">Emergency/Crisis Quick-Access</t>
  </si>
  <si>
    <t xml:space="preserve">No fast path for "my child was just expelled" or "I got a denial letter today." Users must navigate normal app flow during crisis.</t>
  </si>
  <si>
    <t xml:space="preserve">Add crisis button to home screen. Map to 5 scenario templates. Generate same-day/next-day priority actions.</t>
  </si>
  <si>
    <t xml:space="preserve">3, 8, 9</t>
  </si>
  <si>
    <t xml:space="preserve">FEAT-07</t>
  </si>
  <si>
    <t xml:space="preserve">Advocate and Attorney Directory</t>
  </si>
  <si>
    <t xml:space="preserve">Searchable database: region, specialization, cost model, languages, credentials, user reviews.</t>
  </si>
  <si>
    <t xml:space="preserve">Partial</t>
  </si>
  <si>
    <t xml:space="preserve">Can store directory in Sheets and render in HTML. User reviews need auth system GAS doesn't natively support well. Consider read-only directory first.</t>
  </si>
  <si>
    <t xml:space="preserve">2, 3, 8, 10</t>
  </si>
  <si>
    <t xml:space="preserve">BUG-03</t>
  </si>
  <si>
    <t xml:space="preserve">3. Service Access &amp; Accountability</t>
  </si>
  <si>
    <t xml:space="preserve">localStorage-Based Action State with No Persistence</t>
  </si>
  <si>
    <t xml:space="preserve">All progress stored in browser localStorage only. Device switch, browser clear, incognito = total progress loss with no recovery.</t>
  </si>
  <si>
    <t xml:space="preserve">Sync action state to Google Sheets (ActionLog). Read from Sheets on load, write on change. GAS server calls handle this.</t>
  </si>
  <si>
    <t xml:space="preserve">BUG-06</t>
  </si>
  <si>
    <t xml:space="preserve">Profile Save Destructively Regenerates Action Plan</t>
  </si>
  <si>
    <t xml:space="preserve">Editing profile calls generateRichPlan() which creates new plan, destroying all started/completed/dismissed states and follow-ups.</t>
  </si>
  <si>
    <t xml:space="preserve">Implement action plan versioning. Compare old vs new plan. Preserve completion states by matching action IDs.</t>
  </si>
  <si>
    <t xml:space="preserve">BUG-07</t>
  </si>
  <si>
    <t xml:space="preserve">No Session Timeout Handling</t>
  </si>
  <si>
    <t xml:space="preserve">GAS session expires mid-use → cryptic error, no recovery. No warning, no re-authentication, no state caching.</t>
  </si>
  <si>
    <t xml:space="preserve">Add client-side timeout detection. Catch google.script.run failures. Show re-auth prompt. Cache last state in localStorage.</t>
  </si>
  <si>
    <t xml:space="preserve">IMP-05</t>
  </si>
  <si>
    <t xml:space="preserve">Contextual Quick Actions Grid</t>
  </si>
  <si>
    <t xml:space="preserve">Home screen quick actions are static. Should adapt based on action plan progress, deadlines, and user situation.</t>
  </si>
  <si>
    <t xml:space="preserve">Score actions by status/urgency in renderHome(). Display top 4-6 dynamic buttons.</t>
  </si>
  <si>
    <t xml:space="preserve">IMP-08</t>
  </si>
  <si>
    <t xml:space="preserve">Add Proactive Notification/Reminder System</t>
  </si>
  <si>
    <t xml:space="preserve">No reminders. Users must remember to return. Deadlines, follow-ups, authorization expirations go untracked.</t>
  </si>
  <si>
    <t xml:space="preserve">GAS time-based triggers can send emails. Browser push notifications need service worker (not native GAS). Email reminders are fully feasible.</t>
  </si>
  <si>
    <t xml:space="preserve">IMP-09</t>
  </si>
  <si>
    <t xml:space="preserve">Agency Directory Should Filter by User Location</t>
  </si>
  <si>
    <t xml:space="preserve">Static/hardcoded agency list. Should detect user county from profile and surface local agencies with contact info, languages, hours.</t>
  </si>
  <si>
    <t xml:space="preserve">Add county field to profile. Filter AGENCIES data by county. Already have ZIP_TO_RC mapping as foundation.</t>
  </si>
  <si>
    <t xml:space="preserve">1, 8, 9</t>
  </si>
  <si>
    <t xml:space="preserve">IMP-11</t>
  </si>
  <si>
    <t xml:space="preserve">Expand Follow-Up Outcome Tracking</t>
  </si>
  <si>
    <t xml:space="preserve">Outcomes limited to "Voicemail/Spoke/Denied." Need nuanced outcomes per agency type and free-text notes.</t>
  </si>
  <si>
    <t xml:space="preserve">Expand FOLLOWUPS object with richer outcome options. Store in Sheets. Simple UI addition.</t>
  </si>
  <si>
    <t xml:space="preserve">IMP-14</t>
  </si>
  <si>
    <t xml:space="preserve">Add Progress History and Timeline</t>
  </si>
  <si>
    <t xml:space="preserve">No way to see what was accomplished and when. Need timestamped completion log and progress visualization.</t>
  </si>
  <si>
    <t xml:space="preserve">Log timestamps to ActionLog sheet on status change. New "History" screen rendering from Sheets data.</t>
  </si>
  <si>
    <t xml:space="preserve">IMP-18</t>
  </si>
  <si>
    <t xml:space="preserve">Action Cards Should Show Dependencies</t>
  </si>
  <si>
    <t xml:space="preserve">Some actions must precede others (e.g., call RC before requesting eval). No dependency display or sequencing.</t>
  </si>
  <si>
    <t xml:space="preserve">Add dependency field to action plan data model. Render "Blocked by" and "Enables" on cards. Gray out blocked items.</t>
  </si>
  <si>
    <t xml:space="preserve">FEAT-01</t>
  </si>
  <si>
    <t xml:space="preserve">Document Vault</t>
  </si>
  <si>
    <t xml:space="preserve">Upload, store, organize IEPs, evaluations, denial letters. Tagged by date/agency/type. Full-text search. Share with advocates.</t>
  </si>
  <si>
    <t xml:space="preserve">Very Large</t>
  </si>
  <si>
    <t xml:space="preserve">Can use Google Drive API for storage (GAS has DriveApp). File upload via HTML form. Tagging via Sheets metadata. Full-text search limited in GAS.</t>
  </si>
  <si>
    <t xml:space="preserve">FEAT-02</t>
  </si>
  <si>
    <t xml:space="preserve">Appointment Tracker with Prep Checklists</t>
  </si>
  <si>
    <t xml:space="preserve">Unified calendar across RC, school, medical, therapy. Smart reminders. Prep checklists per appointment type. Post-appointment logging.</t>
  </si>
  <si>
    <t xml:space="preserve">Store appointments in Sheets. Render calendar view in HTML/JS. Google Calendar API for sync. Prep checklists as KB content.</t>
  </si>
  <si>
    <t xml:space="preserve">7, 8, 9</t>
  </si>
  <si>
    <t xml:space="preserve">FEAT-04</t>
  </si>
  <si>
    <t xml:space="preserve">Service Coordination Dashboard</t>
  </si>
  <si>
    <t xml:space="preserve">Visual map of all active services, providers, authorization dates, renewal deadlines, costs.</t>
  </si>
  <si>
    <t xml:space="preserve">New Sheets tab for services data. Render dashboard with HTML/JS visualization. Deadline tracking via GAS triggers.</t>
  </si>
  <si>
    <t xml:space="preserve">1, 5, 7, 8, 9</t>
  </si>
  <si>
    <t xml:space="preserve">FEAT-10</t>
  </si>
  <si>
    <t xml:space="preserve">Interactive Journey Timeline Visualization</t>
  </si>
  <si>
    <t xml:space="preserve">Horizontal timeline showing milestones, current status, projected future. Export as image/PDF.</t>
  </si>
  <si>
    <t xml:space="preserve">Build with HTML5 Canvas or SVG in Index.html. Data from ActionLog + user profile. Export via html2canvas.</t>
  </si>
  <si>
    <t xml:space="preserve">4, 8</t>
  </si>
  <si>
    <t xml:space="preserve">IMP-04</t>
  </si>
  <si>
    <t xml:space="preserve">4. Emotional &amp; Community Support</t>
  </si>
  <si>
    <t xml:space="preserve">Multi-Child Support</t>
  </si>
  <si>
    <t xml:space="preserve">Most families have siblings. App assumes single child. Parents must run separate instances or conflate children.</t>
  </si>
  <si>
    <t xml:space="preserve">Add child selector to profile. Separate action plans per child in Sheets. Unified dashboard view.</t>
  </si>
  <si>
    <t xml:space="preserve">1, 2, 3, 4, 5, 6, 8</t>
  </si>
  <si>
    <t xml:space="preserve">IMP-07</t>
  </si>
  <si>
    <t xml:space="preserve">SMS Reminders Should Be Actual Reminders</t>
  </si>
  <si>
    <t xml:space="preserve">Current "Text Myself" sends one-time copy. Should set up recurring reminders (7 days, 24 hours before deadline).</t>
  </si>
  <si>
    <t xml:space="preserve">GAS can't send SMS natively. Options: Twilio API via UrlFetchApp, or email-to-SMS gateways. Email reminders fully feasible.</t>
  </si>
  <si>
    <t xml:space="preserve">IMP-17</t>
  </si>
  <si>
    <t xml:space="preserve">Action Plan Sharing with Co-Parents/Advocates</t>
  </si>
  <si>
    <t xml:space="preserve">No way to share plans. Need invite collaborator, shareable read-only link, comments.</t>
  </si>
  <si>
    <t xml:space="preserve">Can generate shareable link (GAS doGet with token parameter). Full collaboration needs real-time sync GAS doesn't support well. Read-only sharing feasible.</t>
  </si>
  <si>
    <t xml:space="preserve">2, 4, 6</t>
  </si>
  <si>
    <t xml:space="preserve">IMP-22</t>
  </si>
  <si>
    <t xml:space="preserve">Mobile Responsiveness and Accessibility Audit</t>
  </si>
  <si>
    <t xml:space="preserve">App targets 480px but needs WCAG AA color contrast, keyboard nav, screen reader, 200% zoom testing.</t>
  </si>
  <si>
    <t xml:space="preserve">Pure HTML/CSS/JS improvements. No GAS limitations. Fix contrast, add ARIA labels, test focus indicators.</t>
  </si>
  <si>
    <t xml:space="preserve">FEAT-05</t>
  </si>
  <si>
    <t xml:space="preserve">Peer Connection Network</t>
  </si>
  <si>
    <t xml:space="preserve">Anonymized matching by RC, school district, diagnosis, situation. Moderated forums. Direct messaging.</t>
  </si>
  <si>
    <t xml:space="preserve">No</t>
  </si>
  <si>
    <t xml:space="preserve">Real-time messaging, user moderation, and forum functionality exceed GAS capabilities. Would need separate platform (Firebase, Supabase) with GAS as data bridge.</t>
  </si>
  <si>
    <t xml:space="preserve">FEAT-06</t>
  </si>
  <si>
    <t xml:space="preserve">Persistent Chat History</t>
  </si>
  <si>
    <t xml:space="preserve">Chat sessions don't persist. Users can't return to prior conversations or search past AI guidance.</t>
  </si>
  <si>
    <t xml:space="preserve">Already have ChatSessions sheet. Store full conversation history. Add chat list screen. Search via Apps Script string matching.</t>
  </si>
  <si>
    <t xml:space="preserve">2, 3, 8</t>
  </si>
  <si>
    <t xml:space="preserve">FEAT-12</t>
  </si>
  <si>
    <t xml:space="preserve">Family Delegation and Account Sharing</t>
  </si>
  <si>
    <t xml:space="preserve">Role-based access: co-parent (edit), advocate (view), grandmother (configurable). Permission matrix. Audit log.</t>
  </si>
  <si>
    <t xml:space="preserve">GAS lacks native user auth/roles. Can implement via shared access tokens + Sheets-based permission table. Limited but workable for basic delegation.</t>
  </si>
  <si>
    <t xml:space="preserve">2, 5, 6, 7, 9</t>
  </si>
  <si>
    <t xml:space="preserve">BUG-04</t>
  </si>
  <si>
    <t xml:space="preserve">5. Transition &amp; Life Pathway</t>
  </si>
  <si>
    <t xml:space="preserve">No Offline Capability</t>
  </si>
  <si>
    <t xml:space="preserve">GAS web app requires live internet. Rural users (Redding) and traveling parents (8-12 appointments) lose work mid-session.</t>
  </si>
  <si>
    <t xml:space="preserve">GAS cannot serve offline. PWA service workers not supported in GAS HtmlService. Would require migration to standalone web app.</t>
  </si>
  <si>
    <t xml:space="preserve">7, 8</t>
  </si>
  <si>
    <t xml:space="preserve">IMP-06</t>
  </si>
  <si>
    <t xml:space="preserve">Expand Calendar Integration</t>
  </si>
  <si>
    <t xml:space="preserve">Only Google Calendar supported. Need Apple Calendar (.ics), Outlook, generic .ics download.</t>
  </si>
  <si>
    <t xml:space="preserve">Generate .ics files server-side with GAS. Serve as downloadable blob. Works for all calendar apps.</t>
  </si>
  <si>
    <t xml:space="preserve">IMP-12</t>
  </si>
  <si>
    <t xml:space="preserve">Document Upload and Storage</t>
  </si>
  <si>
    <t xml:space="preserve">No in-app storage for IEPs, evaluations, denial letters. Need upload, tag, search, share, attach to actions.</t>
  </si>
  <si>
    <t xml:space="preserve">GAS DriveApp creates folders per user. HTML file upload form. Store metadata in Sheets. Link files to actions.</t>
  </si>
  <si>
    <t xml:space="preserve">FEAT-03</t>
  </si>
  <si>
    <t xml:space="preserve">Multi-Child Support Dashboard</t>
  </si>
  <si>
    <t xml:space="preserve">Separate action plans per child. Unified view. Cross-child insights. Color-coded calendar.</t>
  </si>
  <si>
    <t xml:space="preserve">Multiple child profiles in Sheets. Child selector in UI. Separate action plan generation per child. Dashboard aggregation.</t>
  </si>
  <si>
    <t xml:space="preserve">FEAT-11</t>
  </si>
  <si>
    <t xml:space="preserve">PWA / Offline Mode</t>
  </si>
  <si>
    <t xml:space="preserve">Progressive Web App for offline access to plans, articles, drafts. Background sync.</t>
  </si>
  <si>
    <t xml:space="preserve">GAS HtmlService does not support service workers or PWA manifest. Would need to migrate frontend to standalone hosting.</t>
  </si>
  <si>
    <t xml:space="preserve">FEAT-13</t>
  </si>
  <si>
    <t xml:space="preserve">Integration with External Systems</t>
  </si>
  <si>
    <t xml:space="preserve">Connect to school IEP portals, RC case management, IHSS timesheets, Medi-Cal portal.</t>
  </si>
  <si>
    <t xml:space="preserve">External system APIs (school districts, RC) largely don't exist. Where APIs exist, GAS UrlFetchApp could connect. Mostly blocked by lack of partner APIs.</t>
  </si>
  <si>
    <t xml:space="preserve">Bucket #</t>
  </si>
  <si>
    <t xml:space="preserve">Need Category (from Memo)</t>
  </si>
  <si>
    <t xml:space="preserve">Total Findings</t>
  </si>
  <si>
    <t xml:space="preserve">Critical Bugs</t>
  </si>
  <si>
    <t xml:space="preserve">Improvements</t>
  </si>
  <si>
    <t xml:space="preserve">Large Features</t>
  </si>
  <si>
    <t xml:space="preserve">GAS: Yes</t>
  </si>
  <si>
    <t xml:space="preserve">GAS: Partial</t>
  </si>
  <si>
    <t xml:space="preserve">GAS: No</t>
  </si>
  <si>
    <t xml:space="preserve">Top Priority Items</t>
  </si>
  <si>
    <t xml:space="preserve">1</t>
  </si>
  <si>
    <t xml:space="preserve">BUG-01, BUG-05, IMP-01</t>
  </si>
  <si>
    <t xml:space="preserve">2</t>
  </si>
  <si>
    <t xml:space="preserve">BUG-02, BUG-08, IMP-13</t>
  </si>
  <si>
    <t xml:space="preserve">3</t>
  </si>
  <si>
    <t xml:space="preserve">BUG-03, BUG-06, BUG-07</t>
  </si>
  <si>
    <t xml:space="preserve">4</t>
  </si>
  <si>
    <t xml:space="preserve">IMP-04, IMP-07, IMP-17</t>
  </si>
  <si>
    <t xml:space="preserve">5</t>
  </si>
  <si>
    <t xml:space="preserve">IMP-12, FEAT-03, IMP-06</t>
  </si>
  <si>
    <t xml:space="preserve">TOTAL</t>
  </si>
  <si>
    <t xml:space="preserve">Bucket</t>
  </si>
  <si>
    <t xml:space="preserve">P1:Maria</t>
  </si>
  <si>
    <t xml:space="preserve">P2:David</t>
  </si>
  <si>
    <t xml:space="preserve">P3:Tamika</t>
  </si>
  <si>
    <t xml:space="preserve">P4:Robert</t>
  </si>
  <si>
    <t xml:space="preserve">P5:Guadalupe</t>
  </si>
  <si>
    <t xml:space="preserve">P6:Keoni</t>
  </si>
  <si>
    <t xml:space="preserve">P7:Destiny</t>
  </si>
  <si>
    <t xml:space="preserve">P8:James</t>
  </si>
  <si>
    <t xml:space="preserve">P9:Anh</t>
  </si>
  <si>
    <t xml:space="preserve">P10:Alexis</t>
  </si>
  <si>
    <t xml:space="preserve">Count</t>
  </si>
  <si>
    <t xml:space="preserve">Rights &amp; Process Information</t>
  </si>
  <si>
    <t xml:space="preserve">X</t>
  </si>
  <si>
    <t xml:space="preserve">Advocacy &amp; Conflict Resolution</t>
  </si>
  <si>
    <t xml:space="preserve">Service Access &amp; Accountability</t>
  </si>
  <si>
    <t xml:space="preserve">Emotional &amp; Community Support</t>
  </si>
  <si>
    <t xml:space="preserve">Transition &amp; Life Pathway</t>
  </si>
  <si>
    <t xml:space="preserve">Findings affecting each persona</t>
  </si>
  <si>
    <t xml:space="preserve">GAS Implementation Notes</t>
  </si>
  <si>
    <t xml:space="preserve">Alternative if Not GAS</t>
  </si>
  <si>
    <t xml:space="preserve">CoWork Actionable?</t>
  </si>
  <si>
    <t xml:space="preserve">N/A - fully supported in GAS</t>
  </si>
  <si>
    <t xml:space="preserve">Yes - CoWork can write/edit Code.gs and Index.html directly</t>
  </si>
  <si>
    <t xml:space="preserve">Read-only directory in GAS. Full review system needs external auth.</t>
  </si>
  <si>
    <t xml:space="preserve">Email via GAS MailApp. Push notifications need service worker (not GAS).</t>
  </si>
  <si>
    <t xml:space="preserve">DriveApp for storage. Limited search. Consider Algolia for full-text search.</t>
  </si>
  <si>
    <t xml:space="preserve">Use Twilio API via GAS UrlFetchApp for SMS. Email reminders as fallback.</t>
  </si>
  <si>
    <t xml:space="preserve">Basic sharing via token URLs. Full collaboration needs external platform.</t>
  </si>
  <si>
    <t xml:space="preserve">Build on Firebase/Supabase with real-time DB. GAS handles data bridge.</t>
  </si>
  <si>
    <t xml:space="preserve">Limited - CoWork can plan architecture but deployment needs manual setup</t>
  </si>
  <si>
    <t xml:space="preserve">Migrate frontend to standalone hosting (Vercel/Netlify) with GAS as API backend</t>
  </si>
  <si>
    <t xml:space="preserve">Partner APIs largely don't exist. Monitor for future availability.</t>
  </si>
  <si>
    <t xml:space="preserve">SUMMARY</t>
  </si>
  <si>
    <t xml:space="preserve">Fully GAS-Compatible</t>
  </si>
  <si>
    <t xml:space="preserve">Can be built entirely in Code.gs + Index.html using CoWork</t>
  </si>
  <si>
    <t xml:space="preserve">Partially GAS-Compatible</t>
  </si>
  <si>
    <t xml:space="preserve">Core feature in GAS; some sub-features need external services</t>
  </si>
  <si>
    <t xml:space="preserve">Not GAS-Compatible</t>
  </si>
  <si>
    <t xml:space="preserve">Requires platform migration or separate supplemental system</t>
  </si>
  <si>
    <t xml:space="preserve">Phase</t>
  </si>
  <si>
    <t xml:space="preserve">GAS?</t>
  </si>
  <si>
    <t xml:space="preserve">Personas Helped</t>
  </si>
  <si>
    <t xml:space="preserve">Why This Rank</t>
  </si>
  <si>
    <t xml:space="preserve">Phase 1: Immediate (Weeks 1-4)</t>
  </si>
  <si>
    <t xml:space="preserve">Highest barrier: 30% of CA population locked out after onboarding. Civil rights issue.</t>
  </si>
  <si>
    <t xml:space="preserve">Sends users on months-long wild goose chase to ineligible services. Actively harmful.</t>
  </si>
  <si>
    <t xml:space="preserve">All users lose all progress on device switch. Destroys trust and weeks of work.</t>
  </si>
  <si>
    <t xml:space="preserve">Email misclassification leads to wrong escalation decisions. Quick fix, high impact.</t>
  </si>
  <si>
    <t xml:space="preserve">Vietnamese grandparents at 10-day suspension threshold with zero language support.</t>
  </si>
  <si>
    <t xml:space="preserve">Missing immigration, military, kinship data = wrong action plans for 40% of personas.</t>
  </si>
  <si>
    <t xml:space="preserve">Users avoid updating profile because it destroys progress. Locks users into stale data.</t>
  </si>
  <si>
    <t xml:space="preserve">Escalation actions vanish after frustration flow. Defeats purpose of crisis support. Multi-child needed by 70% of personas.</t>
  </si>
  <si>
    <t xml:space="preserve">Phase 2: Near-Term (Weeks 5-12)</t>
  </si>
  <si>
    <t xml:space="preserve">Missing: PWN request, 4731 complaint, IHSS appeal, MDR challenge. Critical advocacy gaps.</t>
  </si>
  <si>
    <t xml:space="preserve">No fast path during crisis. "My child was expelled" needs same-day response.</t>
  </si>
  <si>
    <t xml:space="preserve">Cryptic error on timeout loses mid-session work. Quick fix.</t>
  </si>
  <si>
    <t xml:space="preserve">Covers 65% of non-English CA population. Same architecture as Spanish/Vietnamese.</t>
  </si>
  <si>
    <t xml:space="preserve">Users forget deadlines. Email reminders prevent missed authorization expirations.</t>
  </si>
  <si>
    <t xml:space="preserve">Appointment-heavy personas (8-12/month) need centralized tracker. Document upload essential for appeals.</t>
  </si>
  <si>
    <t xml:space="preserve">Most families have multiple children needing separate tracking.</t>
  </si>
  <si>
    <t xml:space="preserve">Tone escalation is powerful but invisible. Quick UI fix.</t>
  </si>
  <si>
    <t xml:space="preserve">Phase 3: Medium-Term (Weeks 13-24)</t>
  </si>
  <si>
    <t xml:space="preserve">Dynamic quick actions increase engagement and reduce cognitive load.</t>
  </si>
  <si>
    <t xml:space="preserve">Quick-reference cards for IEP timelines, RC deadlines, suspension rules.</t>
  </si>
  <si>
    <t xml:space="preserve">Relevant articles surface faster. Reduces information overwhelm.</t>
  </si>
  <si>
    <t xml:space="preserve">Users don't know HOW to get reimbursed. Process explanation needed.</t>
  </si>
  <si>
    <t xml:space="preserve">Location-filtered agencies are more actionable than static list.</t>
  </si>
  <si>
    <t xml:space="preserve">Families miss benefits they qualify for. Calculator prevents this.</t>
  </si>
  <si>
    <t xml:space="preserve">Attorney access critical for due process. .ics calendar universal.</t>
  </si>
  <si>
    <t xml:space="preserve">Nuanced outcomes improve follow-up quality.</t>
  </si>
  <si>
    <t xml:space="preserve">Progress visualization motivates continued engagement.</t>
  </si>
  <si>
    <t xml:space="preserve">Phase 4: Long-Term (Weeks 25+)</t>
  </si>
  <si>
    <t xml:space="preserve">Document storage + SMS reminders. DriveApp makes this feasible.</t>
  </si>
  <si>
    <t xml:space="preserve">Action sequencing reduces confusion for complex plans.</t>
  </si>
  <si>
    <t xml:space="preserve">Military families (6) have zero content. Niche but critical.</t>
  </si>
  <si>
    <t xml:space="preserve">Service coordination visual reduces appointment/authorization chaos.</t>
  </si>
  <si>
    <t xml:space="preserve">Journey timeline helps long-term users see progress.</t>
  </si>
  <si>
    <t xml:space="preserve">Co-parent sharing basic but valuable.</t>
  </si>
  <si>
    <t xml:space="preserve">WCAG compliance is legal requirement for publicly-funded tools.</t>
  </si>
  <si>
    <t xml:space="preserve">Chat history persistence. Already have ChatSessions sheet.</t>
  </si>
  <si>
    <t xml:space="preserve">Family delegation complex but important for kinship/military.</t>
  </si>
  <si>
    <t xml:space="preserve">Peer connection transformative but exceeds GAS capabilities.</t>
  </si>
  <si>
    <t xml:space="preserve">Offline mode critical for rural but requires platform migration.</t>
  </si>
  <si>
    <t xml:space="preserve">PWA requires leaving GAS. Plan for future.</t>
  </si>
  <si>
    <t xml:space="preserve">External APIs don't exist yet. Monitor.</t>
  </si>
  <si>
    <t xml:space="preserve">Theme #</t>
  </si>
  <si>
    <t xml:space="preserve">Theme Name</t>
  </si>
  <si>
    <t xml:space="preserve">Mapped Memo Bucket(s)</t>
  </si>
  <si>
    <t xml:space="preserve">Related Finding IDs</t>
  </si>
  <si>
    <t xml:space="preserve">Recommended Action</t>
  </si>
  <si>
    <t xml:space="preserve">Language Access Barriers</t>
  </si>
  <si>
    <t xml:space="preserve">1. Rights &amp; Process Info</t>
  </si>
  <si>
    <t xml:space="preserve">Spanish-only landing creates illusion of accessibility. Vietnamese, Tagalog, Mandarin, Cantonese speakers have zero access. 30%+ of CA population affected.</t>
  </si>
  <si>
    <t xml:space="preserve">BUG-01, IMP-01, IMP-02</t>
  </si>
  <si>
    <t xml:space="preserve">1, 5, 9 + extended CA</t>
  </si>
  <si>
    <t xml:space="preserve">Full i18n implementation: EN, ES, VI minimum. Add TL, ZH in Phase 2.</t>
  </si>
  <si>
    <t xml:space="preserve">Data Persistence Failures</t>
  </si>
  <si>
    <t xml:space="preserve">3. Service Access</t>
  </si>
  <si>
    <t xml:space="preserve">localStorage-only = device switch kills progress. No offline mode = rural users lose work. No session timeout handling.</t>
  </si>
  <si>
    <t xml:space="preserve">BUG-03, BUG-04, BUG-07</t>
  </si>
  <si>
    <t xml:space="preserve">All 10</t>
  </si>
  <si>
    <t xml:space="preserve">Yes (persistence), No (offline)</t>
  </si>
  <si>
    <t xml:space="preserve">Server-side sync to Sheets immediately. PWA requires platform migration.</t>
  </si>
  <si>
    <t xml:space="preserve">Diagnosis-to-Service Mapping</t>
  </si>
  <si>
    <t xml:space="preserve">Action plans don't filter by diagnosis eligibility. ADHD→RC (wrong). Autism+normal IQ→RC denied (wrong). SLD gets minimal content.</t>
  </si>
  <si>
    <t xml:space="preserve">Build eligibility matrix in Code.gs. Filter generateRichPlan() output.</t>
  </si>
  <si>
    <t xml:space="preserve">Appointment/Service Coordination</t>
  </si>
  <si>
    <t xml:space="preserve">Parents juggle 8+ appointments/month across RC, school, medical, therapy. No tracker, reminders, prep checklists.</t>
  </si>
  <si>
    <t xml:space="preserve">FEAT-02, FEAT-04, IMP-08</t>
  </si>
  <si>
    <t xml:space="preserve">Appointment tracker + service dashboard + email reminders via GAS triggers.</t>
  </si>
  <si>
    <t xml:space="preserve">Escalation &amp; Advocacy Navigation</t>
  </si>
  <si>
    <t xml:space="preserve">2. Advocacy &amp; Conflict</t>
  </si>
  <si>
    <t xml:space="preserve">Frustration flows generate actions that vanish. Missing draft templates for key complaints. Crisis mode absent. Tone escalation hidden.</t>
  </si>
  <si>
    <t xml:space="preserve">BUG-08, IMP-13, IMP-15, IMP-19</t>
  </si>
  <si>
    <t xml:space="preserve">Integrate frustration actions into dashboard. Add draft templates. Surface tone toggle.</t>
  </si>
  <si>
    <t xml:space="preserve">Demographic Blindness</t>
  </si>
  <si>
    <t xml:space="preserve">Onboarding misses immigration, military, kinship, rural, language, family structure. Produces generic plans for diverse populations.</t>
  </si>
  <si>
    <t xml:space="preserve">IMP-03, FEAT-09</t>
  </si>
  <si>
    <t xml:space="preserve">Expand onboarding. Use demographics to customize plan generation and resource filtering.</t>
  </si>
  <si>
    <t xml:space="preserve">Multi-Child / Family Complexity</t>
  </si>
  <si>
    <t xml:space="preserve">4. Emotional &amp; Community</t>
  </si>
  <si>
    <t xml:space="preserve">Single-child assumption. 70% of personas have siblings. No way to track multiple children or share with co-parents.</t>
  </si>
  <si>
    <t xml:space="preserve">IMP-04, FEAT-03, IMP-17, FEAT-12</t>
  </si>
  <si>
    <t xml:space="preserve">Yes (multi-child), Partial (sharing)</t>
  </si>
  <si>
    <t xml:space="preserve">Add child profiles in Sheets. Separate action plans. Basic sharing via token URLs.</t>
  </si>
  <si>
    <t xml:space="preserve">SLD / Non-Autism Underrepresentation</t>
  </si>
  <si>
    <t xml:space="preserve">SLD is largest SpEd category (35%) but app treats it as minor. No evidence-based reading content, no RTI delay proactive surfacing.</t>
  </si>
  <si>
    <t xml:space="preserve">BUG-05, IMP-21</t>
  </si>
  <si>
    <t xml:space="preserve">3, 4</t>
  </si>
  <si>
    <t xml:space="preserve">Add SLD-specific KB articles. Surface RTI delay info proactively. Add reading program guidance.</t>
  </si>
  <si>
    <t xml:space="preserve">Rural Service Delivery Gaps</t>
  </si>
  <si>
    <t xml:space="preserve">Rural users face provider deserts, long travel, unreliable internet. App doesn't address telehealth options or rural-specific strategies.</t>
  </si>
  <si>
    <t xml:space="preserve">BUG-04, FEAT-11</t>
  </si>
  <si>
    <t xml:space="preserve">Add telehealth provider info. Rural strategy content. Offline requires platform migration.</t>
  </si>
  <si>
    <t xml:space="preserve">Trust &amp; Safety for Vulnerable Populations</t>
  </si>
  <si>
    <t xml:space="preserve">Undocumented families fear government contact. Grandparent caregivers unsure of standing. Young single parents feel judged. No reassurance content.</t>
  </si>
  <si>
    <t xml:space="preserve">IMP-03, FEAT-05</t>
  </si>
  <si>
    <t xml:space="preserve">5, 7, 9</t>
  </si>
  <si>
    <t xml:space="preserve">Add immigration safety assurances. Kinship care rights content. Peer support (needs external platform).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</si>
</sst>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2"/>
      <color rgb="FF2F5496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2F5496"/>
        <bgColor rgb="FF4472C4"/>
      </patternFill>
    </fill>
    <fill>
      <patternFill patternType="solid">
        <fgColor rgb="FFFF6B6B"/>
        <bgColor rgb="FFED7D31"/>
      </patternFill>
    </fill>
    <fill>
      <patternFill patternType="solid">
        <fgColor rgb="FFC6EFCE"/>
        <bgColor rgb="FFCCFFFF"/>
      </patternFill>
    </fill>
    <fill>
      <patternFill patternType="solid">
        <fgColor rgb="FFFFB366"/>
        <bgColor rgb="FFFFE066"/>
      </patternFill>
    </fill>
    <fill>
      <patternFill patternType="solid">
        <fgColor rgb="FFFFE066"/>
        <bgColor rgb="FFFFE699"/>
      </patternFill>
    </fill>
    <fill>
      <patternFill patternType="solid">
        <fgColor rgb="FFFFE699"/>
        <bgColor rgb="FFFFE066"/>
      </patternFill>
    </fill>
    <fill>
      <patternFill patternType="solid">
        <fgColor rgb="FFFFC7CE"/>
        <bgColor rgb="FFFFE699"/>
      </patternFill>
    </fill>
    <fill>
      <patternFill patternType="solid">
        <fgColor rgb="FF4472C4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2F549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6B6B"/>
          <bgColor rgb="FF000000"/>
        </patternFill>
      </fill>
    </dxf>
    <dxf>
      <fill>
        <patternFill patternType="solid">
          <fgColor rgb="FFFFB366"/>
          <bgColor rgb="FF000000"/>
        </patternFill>
      </fill>
    </dxf>
    <dxf>
      <fill>
        <patternFill patternType="solid">
          <fgColor rgb="FFFFE066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69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E066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6E7"/>
      <rgbColor rgb="FF808080"/>
      <rgbColor rgb="FF9999FF"/>
      <rgbColor rgb="FF7030A0"/>
      <rgbColor rgb="FFFFFFCC"/>
      <rgbColor rgb="FFCCFFFF"/>
      <rgbColor rgb="FF660066"/>
      <rgbColor rgb="FFFF6B6B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FB366"/>
      <rgbColor rgb="FFCC99FF"/>
      <rgbColor rgb="FFFFC7CE"/>
      <rgbColor rgb="FF4472C4"/>
      <rgbColor rgb="FF33CCCC"/>
      <rgbColor rgb="FF99CC00"/>
      <rgbColor rgb="FFFFC000"/>
      <rgbColor rgb="FFFF9900"/>
      <rgbColor rgb="FFED7D31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496"/>
    <pageSetUpPr fitToPage="false"/>
  </sheetPr>
  <dimension ref="A1:L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2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45"/>
    <col collapsed="false" customWidth="true" hidden="false" outlineLevel="0" max="6" min="6" style="0" width="80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60"/>
    <col collapsed="false" customWidth="true" hidden="false" outlineLevel="0" max="10" min="10" style="0" width="10"/>
    <col collapsed="false" customWidth="true" hidden="false" outlineLevel="0" max="11" min="11" style="0" width="20"/>
    <col collapsed="false" customWidth="true" hidden="false" outlineLevel="0" max="12" min="12" style="0" width="10"/>
  </cols>
  <sheetData>
    <row r="1" customFormat="false" ht="39.5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23.85" hidden="false" customHeight="false" outlineLevel="0" collapsed="false">
      <c r="A2" s="2" t="s">
        <v>12</v>
      </c>
      <c r="B2" s="2" t="s">
        <v>13</v>
      </c>
      <c r="C2" s="2" t="s">
        <v>14</v>
      </c>
      <c r="D2" s="3" t="s">
        <v>15</v>
      </c>
      <c r="E2" s="2" t="s">
        <v>16</v>
      </c>
      <c r="F2" s="2" t="s">
        <v>17</v>
      </c>
      <c r="G2" s="2" t="s">
        <v>18</v>
      </c>
      <c r="H2" s="4" t="s">
        <v>19</v>
      </c>
      <c r="I2" s="2" t="s">
        <v>20</v>
      </c>
      <c r="J2" s="2" t="n">
        <v>1</v>
      </c>
      <c r="K2" s="2" t="s">
        <v>21</v>
      </c>
      <c r="L2" s="2" t="n">
        <v>2</v>
      </c>
    </row>
    <row r="3" customFormat="false" ht="23.85" hidden="false" customHeight="false" outlineLevel="0" collapsed="false">
      <c r="A3" s="2" t="s">
        <v>22</v>
      </c>
      <c r="B3" s="2" t="s">
        <v>13</v>
      </c>
      <c r="C3" s="2" t="s">
        <v>14</v>
      </c>
      <c r="D3" s="3" t="s">
        <v>15</v>
      </c>
      <c r="E3" s="2" t="s">
        <v>23</v>
      </c>
      <c r="F3" s="2" t="s">
        <v>24</v>
      </c>
      <c r="G3" s="2" t="s">
        <v>18</v>
      </c>
      <c r="H3" s="4" t="s">
        <v>19</v>
      </c>
      <c r="I3" s="2" t="s">
        <v>25</v>
      </c>
      <c r="J3" s="2" t="n">
        <v>2</v>
      </c>
      <c r="K3" s="2" t="s">
        <v>26</v>
      </c>
      <c r="L3" s="2" t="n">
        <v>3</v>
      </c>
    </row>
    <row r="4" customFormat="false" ht="23.85" hidden="false" customHeight="false" outlineLevel="0" collapsed="false">
      <c r="A4" s="2" t="s">
        <v>27</v>
      </c>
      <c r="B4" s="2" t="s">
        <v>13</v>
      </c>
      <c r="C4" s="2" t="s">
        <v>28</v>
      </c>
      <c r="D4" s="5" t="s">
        <v>29</v>
      </c>
      <c r="E4" s="2" t="s">
        <v>30</v>
      </c>
      <c r="F4" s="2" t="s">
        <v>31</v>
      </c>
      <c r="G4" s="2" t="s">
        <v>18</v>
      </c>
      <c r="H4" s="4" t="s">
        <v>19</v>
      </c>
      <c r="I4" s="2" t="s">
        <v>32</v>
      </c>
      <c r="J4" s="2" t="n">
        <v>5</v>
      </c>
      <c r="K4" s="2" t="s">
        <v>33</v>
      </c>
      <c r="L4" s="2" t="n">
        <v>1</v>
      </c>
    </row>
    <row r="5" customFormat="false" ht="23.85" hidden="false" customHeight="false" outlineLevel="0" collapsed="false">
      <c r="A5" s="2" t="s">
        <v>34</v>
      </c>
      <c r="B5" s="2" t="s">
        <v>13</v>
      </c>
      <c r="C5" s="2" t="s">
        <v>28</v>
      </c>
      <c r="D5" s="5" t="s">
        <v>29</v>
      </c>
      <c r="E5" s="2" t="s">
        <v>35</v>
      </c>
      <c r="F5" s="2" t="s">
        <v>36</v>
      </c>
      <c r="G5" s="2" t="s">
        <v>37</v>
      </c>
      <c r="H5" s="4" t="s">
        <v>19</v>
      </c>
      <c r="I5" s="2" t="s">
        <v>38</v>
      </c>
      <c r="J5" s="2" t="n">
        <v>12</v>
      </c>
      <c r="K5" s="2" t="s">
        <v>39</v>
      </c>
      <c r="L5" s="2" t="n">
        <v>0</v>
      </c>
    </row>
    <row r="6" customFormat="false" ht="23.85" hidden="false" customHeight="false" outlineLevel="0" collapsed="false">
      <c r="A6" s="2" t="s">
        <v>40</v>
      </c>
      <c r="B6" s="2" t="s">
        <v>13</v>
      </c>
      <c r="C6" s="2" t="s">
        <v>28</v>
      </c>
      <c r="D6" s="5" t="s">
        <v>29</v>
      </c>
      <c r="E6" s="2" t="s">
        <v>41</v>
      </c>
      <c r="F6" s="2" t="s">
        <v>42</v>
      </c>
      <c r="G6" s="2" t="s">
        <v>18</v>
      </c>
      <c r="H6" s="4" t="s">
        <v>19</v>
      </c>
      <c r="I6" s="2" t="s">
        <v>43</v>
      </c>
      <c r="J6" s="2" t="n">
        <v>6</v>
      </c>
      <c r="K6" s="2" t="s">
        <v>44</v>
      </c>
      <c r="L6" s="2" t="n">
        <v>4</v>
      </c>
    </row>
    <row r="7" customFormat="false" ht="23.85" hidden="false" customHeight="false" outlineLevel="0" collapsed="false">
      <c r="A7" s="2" t="s">
        <v>45</v>
      </c>
      <c r="B7" s="2" t="s">
        <v>13</v>
      </c>
      <c r="C7" s="2" t="s">
        <v>28</v>
      </c>
      <c r="D7" s="6" t="s">
        <v>18</v>
      </c>
      <c r="E7" s="2" t="s">
        <v>46</v>
      </c>
      <c r="F7" s="2" t="s">
        <v>47</v>
      </c>
      <c r="G7" s="2" t="s">
        <v>48</v>
      </c>
      <c r="H7" s="4" t="s">
        <v>19</v>
      </c>
      <c r="I7" s="2" t="s">
        <v>49</v>
      </c>
      <c r="J7" s="2" t="n">
        <v>15</v>
      </c>
      <c r="K7" s="2" t="s">
        <v>50</v>
      </c>
      <c r="L7" s="2" t="n">
        <v>10</v>
      </c>
    </row>
    <row r="8" customFormat="false" ht="23.85" hidden="false" customHeight="false" outlineLevel="0" collapsed="false">
      <c r="A8" s="2" t="s">
        <v>51</v>
      </c>
      <c r="B8" s="2" t="s">
        <v>13</v>
      </c>
      <c r="C8" s="2" t="s">
        <v>28</v>
      </c>
      <c r="D8" s="6" t="s">
        <v>18</v>
      </c>
      <c r="E8" s="2" t="s">
        <v>52</v>
      </c>
      <c r="F8" s="2" t="s">
        <v>53</v>
      </c>
      <c r="G8" s="2" t="s">
        <v>48</v>
      </c>
      <c r="H8" s="4" t="s">
        <v>19</v>
      </c>
      <c r="I8" s="2" t="s">
        <v>54</v>
      </c>
      <c r="J8" s="2" t="n">
        <v>16</v>
      </c>
      <c r="K8" s="2" t="s">
        <v>55</v>
      </c>
      <c r="L8" s="2" t="n">
        <v>3</v>
      </c>
    </row>
    <row r="9" customFormat="false" ht="23.85" hidden="false" customHeight="false" outlineLevel="0" collapsed="false">
      <c r="A9" s="2" t="s">
        <v>56</v>
      </c>
      <c r="B9" s="2" t="s">
        <v>13</v>
      </c>
      <c r="C9" s="2" t="s">
        <v>28</v>
      </c>
      <c r="D9" s="6" t="s">
        <v>18</v>
      </c>
      <c r="E9" s="2" t="s">
        <v>57</v>
      </c>
      <c r="F9" s="2" t="s">
        <v>58</v>
      </c>
      <c r="G9" s="2" t="s">
        <v>48</v>
      </c>
      <c r="H9" s="4" t="s">
        <v>19</v>
      </c>
      <c r="I9" s="2" t="s">
        <v>59</v>
      </c>
      <c r="J9" s="2" t="n">
        <v>20</v>
      </c>
      <c r="K9" s="2" t="s">
        <v>60</v>
      </c>
      <c r="L9" s="2" t="n">
        <v>4</v>
      </c>
    </row>
    <row r="10" customFormat="false" ht="23.85" hidden="false" customHeight="false" outlineLevel="0" collapsed="false">
      <c r="A10" s="2" t="s">
        <v>61</v>
      </c>
      <c r="B10" s="2" t="s">
        <v>13</v>
      </c>
      <c r="C10" s="2" t="s">
        <v>28</v>
      </c>
      <c r="D10" s="6" t="s">
        <v>18</v>
      </c>
      <c r="E10" s="2" t="s">
        <v>62</v>
      </c>
      <c r="F10" s="2" t="s">
        <v>63</v>
      </c>
      <c r="G10" s="2" t="s">
        <v>48</v>
      </c>
      <c r="H10" s="4" t="s">
        <v>19</v>
      </c>
      <c r="I10" s="2" t="s">
        <v>64</v>
      </c>
      <c r="J10" s="2" t="n">
        <v>18</v>
      </c>
      <c r="K10" s="2" t="s">
        <v>50</v>
      </c>
      <c r="L10" s="2" t="n">
        <v>10</v>
      </c>
    </row>
    <row r="11" customFormat="false" ht="23.85" hidden="false" customHeight="false" outlineLevel="0" collapsed="false">
      <c r="A11" s="2" t="s">
        <v>65</v>
      </c>
      <c r="B11" s="2" t="s">
        <v>13</v>
      </c>
      <c r="C11" s="2" t="s">
        <v>28</v>
      </c>
      <c r="D11" s="6" t="s">
        <v>18</v>
      </c>
      <c r="E11" s="2" t="s">
        <v>66</v>
      </c>
      <c r="F11" s="2" t="s">
        <v>67</v>
      </c>
      <c r="G11" s="2" t="s">
        <v>18</v>
      </c>
      <c r="H11" s="4" t="s">
        <v>19</v>
      </c>
      <c r="I11" s="2" t="s">
        <v>68</v>
      </c>
      <c r="J11" s="2" t="n">
        <v>19</v>
      </c>
      <c r="K11" s="2" t="s">
        <v>50</v>
      </c>
      <c r="L11" s="2" t="n">
        <v>10</v>
      </c>
    </row>
    <row r="12" customFormat="false" ht="23.85" hidden="false" customHeight="false" outlineLevel="0" collapsed="false">
      <c r="A12" s="2" t="s">
        <v>69</v>
      </c>
      <c r="B12" s="2" t="s">
        <v>13</v>
      </c>
      <c r="C12" s="2" t="s">
        <v>70</v>
      </c>
      <c r="D12" s="6" t="s">
        <v>18</v>
      </c>
      <c r="E12" s="2" t="s">
        <v>71</v>
      </c>
      <c r="F12" s="2" t="s">
        <v>72</v>
      </c>
      <c r="G12" s="2" t="s">
        <v>37</v>
      </c>
      <c r="H12" s="4" t="s">
        <v>19</v>
      </c>
      <c r="I12" s="2" t="s">
        <v>73</v>
      </c>
      <c r="J12" s="2" t="n">
        <v>22</v>
      </c>
      <c r="K12" s="2" t="s">
        <v>60</v>
      </c>
      <c r="L12" s="2" t="n">
        <v>4</v>
      </c>
    </row>
    <row r="13" customFormat="false" ht="23.85" hidden="false" customHeight="false" outlineLevel="0" collapsed="false">
      <c r="A13" s="2" t="s">
        <v>74</v>
      </c>
      <c r="B13" s="2" t="s">
        <v>13</v>
      </c>
      <c r="C13" s="2" t="s">
        <v>70</v>
      </c>
      <c r="D13" s="6" t="s">
        <v>18</v>
      </c>
      <c r="E13" s="2" t="s">
        <v>75</v>
      </c>
      <c r="F13" s="2" t="s">
        <v>76</v>
      </c>
      <c r="G13" s="2" t="s">
        <v>37</v>
      </c>
      <c r="H13" s="4" t="s">
        <v>19</v>
      </c>
      <c r="I13" s="2" t="s">
        <v>77</v>
      </c>
      <c r="J13" s="2" t="n">
        <v>28</v>
      </c>
      <c r="K13" s="2" t="s">
        <v>78</v>
      </c>
      <c r="L13" s="2" t="n">
        <v>1</v>
      </c>
    </row>
    <row r="14" customFormat="false" ht="23.85" hidden="false" customHeight="false" outlineLevel="0" collapsed="false">
      <c r="A14" s="2" t="s">
        <v>79</v>
      </c>
      <c r="B14" s="2" t="s">
        <v>80</v>
      </c>
      <c r="C14" s="2" t="s">
        <v>14</v>
      </c>
      <c r="D14" s="3" t="s">
        <v>15</v>
      </c>
      <c r="E14" s="2" t="s">
        <v>81</v>
      </c>
      <c r="F14" s="2" t="s">
        <v>82</v>
      </c>
      <c r="G14" s="2" t="s">
        <v>48</v>
      </c>
      <c r="H14" s="4" t="s">
        <v>19</v>
      </c>
      <c r="I14" s="2" t="s">
        <v>83</v>
      </c>
      <c r="J14" s="2" t="n">
        <v>4</v>
      </c>
      <c r="K14" s="2" t="s">
        <v>50</v>
      </c>
      <c r="L14" s="2" t="n">
        <v>10</v>
      </c>
    </row>
    <row r="15" customFormat="false" ht="23.85" hidden="false" customHeight="false" outlineLevel="0" collapsed="false">
      <c r="A15" s="2" t="s">
        <v>84</v>
      </c>
      <c r="B15" s="2" t="s">
        <v>80</v>
      </c>
      <c r="C15" s="2" t="s">
        <v>14</v>
      </c>
      <c r="D15" s="6" t="s">
        <v>18</v>
      </c>
      <c r="E15" s="2" t="s">
        <v>85</v>
      </c>
      <c r="F15" s="2" t="s">
        <v>86</v>
      </c>
      <c r="G15" s="2" t="s">
        <v>18</v>
      </c>
      <c r="H15" s="4" t="s">
        <v>19</v>
      </c>
      <c r="I15" s="2" t="s">
        <v>87</v>
      </c>
      <c r="J15" s="2" t="n">
        <v>8</v>
      </c>
      <c r="K15" s="2" t="s">
        <v>88</v>
      </c>
      <c r="L15" s="2" t="n">
        <v>5</v>
      </c>
    </row>
    <row r="16" customFormat="false" ht="23.85" hidden="false" customHeight="false" outlineLevel="0" collapsed="false">
      <c r="A16" s="2" t="s">
        <v>89</v>
      </c>
      <c r="B16" s="2" t="s">
        <v>80</v>
      </c>
      <c r="C16" s="2" t="s">
        <v>28</v>
      </c>
      <c r="D16" s="5" t="s">
        <v>29</v>
      </c>
      <c r="E16" s="2" t="s">
        <v>90</v>
      </c>
      <c r="F16" s="2" t="s">
        <v>91</v>
      </c>
      <c r="G16" s="2" t="s">
        <v>18</v>
      </c>
      <c r="H16" s="4" t="s">
        <v>19</v>
      </c>
      <c r="I16" s="2" t="s">
        <v>92</v>
      </c>
      <c r="J16" s="2" t="n">
        <v>9</v>
      </c>
      <c r="K16" s="2" t="s">
        <v>93</v>
      </c>
      <c r="L16" s="2" t="n">
        <v>4</v>
      </c>
    </row>
    <row r="17" customFormat="false" ht="23.85" hidden="false" customHeight="false" outlineLevel="0" collapsed="false">
      <c r="A17" s="2" t="s">
        <v>94</v>
      </c>
      <c r="B17" s="2" t="s">
        <v>80</v>
      </c>
      <c r="C17" s="2" t="s">
        <v>28</v>
      </c>
      <c r="D17" s="5" t="s">
        <v>29</v>
      </c>
      <c r="E17" s="2" t="s">
        <v>95</v>
      </c>
      <c r="F17" s="2" t="s">
        <v>96</v>
      </c>
      <c r="G17" s="2" t="s">
        <v>48</v>
      </c>
      <c r="H17" s="4" t="s">
        <v>19</v>
      </c>
      <c r="I17" s="2" t="s">
        <v>97</v>
      </c>
      <c r="J17" s="2" t="n">
        <v>10</v>
      </c>
      <c r="K17" s="2" t="s">
        <v>98</v>
      </c>
      <c r="L17" s="2" t="n">
        <v>3</v>
      </c>
    </row>
    <row r="18" customFormat="false" ht="35.05" hidden="false" customHeight="false" outlineLevel="0" collapsed="false">
      <c r="A18" s="2" t="s">
        <v>99</v>
      </c>
      <c r="B18" s="2" t="s">
        <v>80</v>
      </c>
      <c r="C18" s="2" t="s">
        <v>70</v>
      </c>
      <c r="D18" s="6" t="s">
        <v>18</v>
      </c>
      <c r="E18" s="2" t="s">
        <v>100</v>
      </c>
      <c r="F18" s="2" t="s">
        <v>101</v>
      </c>
      <c r="G18" s="2" t="s">
        <v>37</v>
      </c>
      <c r="H18" s="7" t="s">
        <v>102</v>
      </c>
      <c r="I18" s="2" t="s">
        <v>103</v>
      </c>
      <c r="J18" s="2" t="n">
        <v>23</v>
      </c>
      <c r="K18" s="2" t="s">
        <v>104</v>
      </c>
      <c r="L18" s="2" t="n">
        <v>4</v>
      </c>
    </row>
    <row r="19" customFormat="false" ht="23.85" hidden="false" customHeight="false" outlineLevel="0" collapsed="false">
      <c r="A19" s="2" t="s">
        <v>105</v>
      </c>
      <c r="B19" s="2" t="s">
        <v>106</v>
      </c>
      <c r="C19" s="2" t="s">
        <v>14</v>
      </c>
      <c r="D19" s="3" t="s">
        <v>15</v>
      </c>
      <c r="E19" s="2" t="s">
        <v>107</v>
      </c>
      <c r="F19" s="2" t="s">
        <v>108</v>
      </c>
      <c r="G19" s="2" t="s">
        <v>37</v>
      </c>
      <c r="H19" s="4" t="s">
        <v>19</v>
      </c>
      <c r="I19" s="2" t="s">
        <v>109</v>
      </c>
      <c r="J19" s="2" t="n">
        <v>3</v>
      </c>
      <c r="K19" s="2" t="s">
        <v>50</v>
      </c>
      <c r="L19" s="2" t="n">
        <v>10</v>
      </c>
    </row>
    <row r="20" customFormat="false" ht="23.85" hidden="false" customHeight="false" outlineLevel="0" collapsed="false">
      <c r="A20" s="2" t="s">
        <v>110</v>
      </c>
      <c r="B20" s="2" t="s">
        <v>106</v>
      </c>
      <c r="C20" s="2" t="s">
        <v>14</v>
      </c>
      <c r="D20" s="5" t="s">
        <v>29</v>
      </c>
      <c r="E20" s="2" t="s">
        <v>111</v>
      </c>
      <c r="F20" s="2" t="s">
        <v>112</v>
      </c>
      <c r="G20" s="2" t="s">
        <v>18</v>
      </c>
      <c r="H20" s="4" t="s">
        <v>19</v>
      </c>
      <c r="I20" s="2" t="s">
        <v>113</v>
      </c>
      <c r="J20" s="2" t="n">
        <v>7</v>
      </c>
      <c r="K20" s="2" t="s">
        <v>50</v>
      </c>
      <c r="L20" s="2" t="n">
        <v>10</v>
      </c>
    </row>
    <row r="21" customFormat="false" ht="23.85" hidden="false" customHeight="false" outlineLevel="0" collapsed="false">
      <c r="A21" s="2" t="s">
        <v>114</v>
      </c>
      <c r="B21" s="2" t="s">
        <v>106</v>
      </c>
      <c r="C21" s="2" t="s">
        <v>14</v>
      </c>
      <c r="D21" s="6" t="s">
        <v>18</v>
      </c>
      <c r="E21" s="2" t="s">
        <v>115</v>
      </c>
      <c r="F21" s="2" t="s">
        <v>116</v>
      </c>
      <c r="G21" s="2" t="s">
        <v>48</v>
      </c>
      <c r="H21" s="4" t="s">
        <v>19</v>
      </c>
      <c r="I21" s="2" t="s">
        <v>117</v>
      </c>
      <c r="J21" s="2" t="n">
        <v>11</v>
      </c>
      <c r="K21" s="2" t="s">
        <v>50</v>
      </c>
      <c r="L21" s="2" t="n">
        <v>10</v>
      </c>
    </row>
    <row r="22" customFormat="false" ht="23.85" hidden="false" customHeight="false" outlineLevel="0" collapsed="false">
      <c r="A22" s="2" t="s">
        <v>118</v>
      </c>
      <c r="B22" s="2" t="s">
        <v>106</v>
      </c>
      <c r="C22" s="2" t="s">
        <v>28</v>
      </c>
      <c r="D22" s="6" t="s">
        <v>18</v>
      </c>
      <c r="E22" s="2" t="s">
        <v>119</v>
      </c>
      <c r="F22" s="2" t="s">
        <v>120</v>
      </c>
      <c r="G22" s="2" t="s">
        <v>48</v>
      </c>
      <c r="H22" s="4" t="s">
        <v>19</v>
      </c>
      <c r="I22" s="2" t="s">
        <v>121</v>
      </c>
      <c r="J22" s="2" t="n">
        <v>17</v>
      </c>
      <c r="K22" s="2" t="s">
        <v>50</v>
      </c>
      <c r="L22" s="2" t="n">
        <v>10</v>
      </c>
    </row>
    <row r="23" customFormat="false" ht="23.85" hidden="false" customHeight="false" outlineLevel="0" collapsed="false">
      <c r="A23" s="2" t="s">
        <v>122</v>
      </c>
      <c r="B23" s="2" t="s">
        <v>106</v>
      </c>
      <c r="C23" s="2" t="s">
        <v>28</v>
      </c>
      <c r="D23" s="5" t="s">
        <v>29</v>
      </c>
      <c r="E23" s="2" t="s">
        <v>123</v>
      </c>
      <c r="F23" s="2" t="s">
        <v>124</v>
      </c>
      <c r="G23" s="2" t="s">
        <v>18</v>
      </c>
      <c r="H23" s="7" t="s">
        <v>102</v>
      </c>
      <c r="I23" s="2" t="s">
        <v>125</v>
      </c>
      <c r="J23" s="2" t="n">
        <v>13</v>
      </c>
      <c r="K23" s="2" t="s">
        <v>50</v>
      </c>
      <c r="L23" s="2" t="n">
        <v>10</v>
      </c>
    </row>
    <row r="24" customFormat="false" ht="23.85" hidden="false" customHeight="false" outlineLevel="0" collapsed="false">
      <c r="A24" s="2" t="s">
        <v>126</v>
      </c>
      <c r="B24" s="2" t="s">
        <v>106</v>
      </c>
      <c r="C24" s="2" t="s">
        <v>28</v>
      </c>
      <c r="D24" s="6" t="s">
        <v>18</v>
      </c>
      <c r="E24" s="2" t="s">
        <v>127</v>
      </c>
      <c r="F24" s="2" t="s">
        <v>128</v>
      </c>
      <c r="G24" s="2" t="s">
        <v>48</v>
      </c>
      <c r="H24" s="4" t="s">
        <v>19</v>
      </c>
      <c r="I24" s="2" t="s">
        <v>129</v>
      </c>
      <c r="J24" s="2" t="n">
        <v>21</v>
      </c>
      <c r="K24" s="2" t="s">
        <v>130</v>
      </c>
      <c r="L24" s="2" t="n">
        <v>3</v>
      </c>
    </row>
    <row r="25" customFormat="false" ht="23.85" hidden="false" customHeight="false" outlineLevel="0" collapsed="false">
      <c r="A25" s="2" t="s">
        <v>131</v>
      </c>
      <c r="B25" s="2" t="s">
        <v>106</v>
      </c>
      <c r="C25" s="2" t="s">
        <v>28</v>
      </c>
      <c r="D25" s="6" t="s">
        <v>18</v>
      </c>
      <c r="E25" s="2" t="s">
        <v>132</v>
      </c>
      <c r="F25" s="2" t="s">
        <v>133</v>
      </c>
      <c r="G25" s="2" t="s">
        <v>48</v>
      </c>
      <c r="H25" s="4" t="s">
        <v>19</v>
      </c>
      <c r="I25" s="2" t="s">
        <v>134</v>
      </c>
      <c r="J25" s="2" t="n">
        <v>24</v>
      </c>
      <c r="K25" s="2" t="s">
        <v>50</v>
      </c>
      <c r="L25" s="2" t="n">
        <v>10</v>
      </c>
    </row>
    <row r="26" customFormat="false" ht="23.85" hidden="false" customHeight="false" outlineLevel="0" collapsed="false">
      <c r="A26" s="2" t="s">
        <v>135</v>
      </c>
      <c r="B26" s="2" t="s">
        <v>106</v>
      </c>
      <c r="C26" s="2" t="s">
        <v>28</v>
      </c>
      <c r="D26" s="6" t="s">
        <v>18</v>
      </c>
      <c r="E26" s="2" t="s">
        <v>136</v>
      </c>
      <c r="F26" s="2" t="s">
        <v>137</v>
      </c>
      <c r="G26" s="2" t="s">
        <v>48</v>
      </c>
      <c r="H26" s="4" t="s">
        <v>19</v>
      </c>
      <c r="I26" s="2" t="s">
        <v>138</v>
      </c>
      <c r="J26" s="2" t="n">
        <v>25</v>
      </c>
      <c r="K26" s="2" t="s">
        <v>50</v>
      </c>
      <c r="L26" s="2" t="n">
        <v>10</v>
      </c>
    </row>
    <row r="27" customFormat="false" ht="23.85" hidden="false" customHeight="false" outlineLevel="0" collapsed="false">
      <c r="A27" s="2" t="s">
        <v>139</v>
      </c>
      <c r="B27" s="2" t="s">
        <v>106</v>
      </c>
      <c r="C27" s="2" t="s">
        <v>28</v>
      </c>
      <c r="D27" s="6" t="s">
        <v>18</v>
      </c>
      <c r="E27" s="2" t="s">
        <v>140</v>
      </c>
      <c r="F27" s="2" t="s">
        <v>141</v>
      </c>
      <c r="G27" s="2" t="s">
        <v>48</v>
      </c>
      <c r="H27" s="4" t="s">
        <v>19</v>
      </c>
      <c r="I27" s="2" t="s">
        <v>142</v>
      </c>
      <c r="J27" s="2" t="n">
        <v>27</v>
      </c>
      <c r="K27" s="2" t="s">
        <v>50</v>
      </c>
      <c r="L27" s="2" t="n">
        <v>10</v>
      </c>
    </row>
    <row r="28" customFormat="false" ht="35.05" hidden="false" customHeight="false" outlineLevel="0" collapsed="false">
      <c r="A28" s="2" t="s">
        <v>143</v>
      </c>
      <c r="B28" s="2" t="s">
        <v>106</v>
      </c>
      <c r="C28" s="2" t="s">
        <v>70</v>
      </c>
      <c r="D28" s="5" t="s">
        <v>29</v>
      </c>
      <c r="E28" s="2" t="s">
        <v>144</v>
      </c>
      <c r="F28" s="2" t="s">
        <v>145</v>
      </c>
      <c r="G28" s="2" t="s">
        <v>146</v>
      </c>
      <c r="H28" s="7" t="s">
        <v>102</v>
      </c>
      <c r="I28" s="2" t="s">
        <v>147</v>
      </c>
      <c r="J28" s="2" t="n">
        <v>26</v>
      </c>
      <c r="K28" s="2" t="s">
        <v>55</v>
      </c>
      <c r="L28" s="2" t="n">
        <v>3</v>
      </c>
    </row>
    <row r="29" customFormat="false" ht="23.85" hidden="false" customHeight="false" outlineLevel="0" collapsed="false">
      <c r="A29" s="2" t="s">
        <v>148</v>
      </c>
      <c r="B29" s="2" t="s">
        <v>106</v>
      </c>
      <c r="C29" s="2" t="s">
        <v>70</v>
      </c>
      <c r="D29" s="5" t="s">
        <v>29</v>
      </c>
      <c r="E29" s="2" t="s">
        <v>149</v>
      </c>
      <c r="F29" s="2" t="s">
        <v>150</v>
      </c>
      <c r="G29" s="2" t="s">
        <v>37</v>
      </c>
      <c r="H29" s="4" t="s">
        <v>19</v>
      </c>
      <c r="I29" s="2" t="s">
        <v>151</v>
      </c>
      <c r="J29" s="2" t="n">
        <v>14</v>
      </c>
      <c r="K29" s="2" t="s">
        <v>152</v>
      </c>
      <c r="L29" s="2" t="n">
        <v>3</v>
      </c>
    </row>
    <row r="30" customFormat="false" ht="23.85" hidden="false" customHeight="false" outlineLevel="0" collapsed="false">
      <c r="A30" s="2" t="s">
        <v>153</v>
      </c>
      <c r="B30" s="2" t="s">
        <v>106</v>
      </c>
      <c r="C30" s="2" t="s">
        <v>70</v>
      </c>
      <c r="D30" s="5" t="s">
        <v>29</v>
      </c>
      <c r="E30" s="2" t="s">
        <v>154</v>
      </c>
      <c r="F30" s="2" t="s">
        <v>155</v>
      </c>
      <c r="G30" s="2" t="s">
        <v>37</v>
      </c>
      <c r="H30" s="4" t="s">
        <v>19</v>
      </c>
      <c r="I30" s="2" t="s">
        <v>156</v>
      </c>
      <c r="J30" s="2" t="n">
        <v>29</v>
      </c>
      <c r="K30" s="2" t="s">
        <v>157</v>
      </c>
      <c r="L30" s="2" t="n">
        <v>5</v>
      </c>
    </row>
    <row r="31" customFormat="false" ht="23.85" hidden="false" customHeight="false" outlineLevel="0" collapsed="false">
      <c r="A31" s="2" t="s">
        <v>158</v>
      </c>
      <c r="B31" s="2" t="s">
        <v>106</v>
      </c>
      <c r="C31" s="2" t="s">
        <v>70</v>
      </c>
      <c r="D31" s="6" t="s">
        <v>18</v>
      </c>
      <c r="E31" s="2" t="s">
        <v>159</v>
      </c>
      <c r="F31" s="2" t="s">
        <v>160</v>
      </c>
      <c r="G31" s="2" t="s">
        <v>18</v>
      </c>
      <c r="H31" s="4" t="s">
        <v>19</v>
      </c>
      <c r="I31" s="2" t="s">
        <v>161</v>
      </c>
      <c r="J31" s="2" t="n">
        <v>30</v>
      </c>
      <c r="K31" s="2" t="s">
        <v>162</v>
      </c>
      <c r="L31" s="2" t="n">
        <v>2</v>
      </c>
    </row>
    <row r="32" customFormat="false" ht="23.85" hidden="false" customHeight="false" outlineLevel="0" collapsed="false">
      <c r="A32" s="2" t="s">
        <v>163</v>
      </c>
      <c r="B32" s="2" t="s">
        <v>164</v>
      </c>
      <c r="C32" s="2" t="s">
        <v>28</v>
      </c>
      <c r="D32" s="5" t="s">
        <v>29</v>
      </c>
      <c r="E32" s="2" t="s">
        <v>165</v>
      </c>
      <c r="F32" s="2" t="s">
        <v>166</v>
      </c>
      <c r="G32" s="2" t="s">
        <v>37</v>
      </c>
      <c r="H32" s="4" t="s">
        <v>19</v>
      </c>
      <c r="I32" s="2" t="s">
        <v>167</v>
      </c>
      <c r="J32" s="2" t="n">
        <v>8</v>
      </c>
      <c r="K32" s="2" t="s">
        <v>168</v>
      </c>
      <c r="L32" s="2" t="n">
        <v>7</v>
      </c>
    </row>
    <row r="33" customFormat="false" ht="23.85" hidden="false" customHeight="false" outlineLevel="0" collapsed="false">
      <c r="A33" s="2" t="s">
        <v>169</v>
      </c>
      <c r="B33" s="2" t="s">
        <v>164</v>
      </c>
      <c r="C33" s="2" t="s">
        <v>28</v>
      </c>
      <c r="D33" s="6" t="s">
        <v>18</v>
      </c>
      <c r="E33" s="2" t="s">
        <v>170</v>
      </c>
      <c r="F33" s="2" t="s">
        <v>171</v>
      </c>
      <c r="G33" s="2" t="s">
        <v>18</v>
      </c>
      <c r="H33" s="7" t="s">
        <v>102</v>
      </c>
      <c r="I33" s="2" t="s">
        <v>172</v>
      </c>
      <c r="J33" s="2" t="n">
        <v>26</v>
      </c>
      <c r="K33" s="2" t="s">
        <v>152</v>
      </c>
      <c r="L33" s="2" t="n">
        <v>3</v>
      </c>
    </row>
    <row r="34" customFormat="false" ht="35.05" hidden="false" customHeight="false" outlineLevel="0" collapsed="false">
      <c r="A34" s="2" t="s">
        <v>173</v>
      </c>
      <c r="B34" s="2" t="s">
        <v>164</v>
      </c>
      <c r="C34" s="2" t="s">
        <v>28</v>
      </c>
      <c r="D34" s="6" t="s">
        <v>18</v>
      </c>
      <c r="E34" s="2" t="s">
        <v>174</v>
      </c>
      <c r="F34" s="2" t="s">
        <v>175</v>
      </c>
      <c r="G34" s="2" t="s">
        <v>18</v>
      </c>
      <c r="H34" s="7" t="s">
        <v>102</v>
      </c>
      <c r="I34" s="2" t="s">
        <v>176</v>
      </c>
      <c r="J34" s="2" t="n">
        <v>31</v>
      </c>
      <c r="K34" s="2" t="s">
        <v>177</v>
      </c>
      <c r="L34" s="2" t="n">
        <v>3</v>
      </c>
    </row>
    <row r="35" customFormat="false" ht="23.85" hidden="false" customHeight="false" outlineLevel="0" collapsed="false">
      <c r="A35" s="2" t="s">
        <v>178</v>
      </c>
      <c r="B35" s="2" t="s">
        <v>164</v>
      </c>
      <c r="C35" s="2" t="s">
        <v>28</v>
      </c>
      <c r="D35" s="6" t="s">
        <v>18</v>
      </c>
      <c r="E35" s="2" t="s">
        <v>179</v>
      </c>
      <c r="F35" s="2" t="s">
        <v>180</v>
      </c>
      <c r="G35" s="2" t="s">
        <v>18</v>
      </c>
      <c r="H35" s="4" t="s">
        <v>19</v>
      </c>
      <c r="I35" s="2" t="s">
        <v>181</v>
      </c>
      <c r="J35" s="2" t="n">
        <v>32</v>
      </c>
      <c r="K35" s="2" t="s">
        <v>50</v>
      </c>
      <c r="L35" s="2" t="n">
        <v>10</v>
      </c>
    </row>
    <row r="36" customFormat="false" ht="35.05" hidden="false" customHeight="false" outlineLevel="0" collapsed="false">
      <c r="A36" s="2" t="s">
        <v>182</v>
      </c>
      <c r="B36" s="2" t="s">
        <v>164</v>
      </c>
      <c r="C36" s="2" t="s">
        <v>70</v>
      </c>
      <c r="D36" s="6" t="s">
        <v>18</v>
      </c>
      <c r="E36" s="2" t="s">
        <v>183</v>
      </c>
      <c r="F36" s="2" t="s">
        <v>184</v>
      </c>
      <c r="G36" s="2" t="s">
        <v>146</v>
      </c>
      <c r="H36" s="8" t="s">
        <v>185</v>
      </c>
      <c r="I36" s="2" t="s">
        <v>186</v>
      </c>
      <c r="J36" s="2" t="n">
        <v>35</v>
      </c>
      <c r="K36" s="2" t="s">
        <v>60</v>
      </c>
      <c r="L36" s="2" t="n">
        <v>4</v>
      </c>
    </row>
    <row r="37" customFormat="false" ht="23.85" hidden="false" customHeight="false" outlineLevel="0" collapsed="false">
      <c r="A37" s="2" t="s">
        <v>187</v>
      </c>
      <c r="B37" s="2" t="s">
        <v>164</v>
      </c>
      <c r="C37" s="2" t="s">
        <v>70</v>
      </c>
      <c r="D37" s="6" t="s">
        <v>18</v>
      </c>
      <c r="E37" s="2" t="s">
        <v>188</v>
      </c>
      <c r="F37" s="2" t="s">
        <v>189</v>
      </c>
      <c r="G37" s="2" t="s">
        <v>18</v>
      </c>
      <c r="H37" s="4" t="s">
        <v>19</v>
      </c>
      <c r="I37" s="2" t="s">
        <v>190</v>
      </c>
      <c r="J37" s="2" t="n">
        <v>33</v>
      </c>
      <c r="K37" s="2" t="s">
        <v>191</v>
      </c>
      <c r="L37" s="2" t="n">
        <v>3</v>
      </c>
    </row>
    <row r="38" customFormat="false" ht="35.05" hidden="false" customHeight="false" outlineLevel="0" collapsed="false">
      <c r="A38" s="2" t="s">
        <v>192</v>
      </c>
      <c r="B38" s="2" t="s">
        <v>164</v>
      </c>
      <c r="C38" s="2" t="s">
        <v>70</v>
      </c>
      <c r="D38" s="6" t="s">
        <v>18</v>
      </c>
      <c r="E38" s="2" t="s">
        <v>193</v>
      </c>
      <c r="F38" s="2" t="s">
        <v>194</v>
      </c>
      <c r="G38" s="2" t="s">
        <v>37</v>
      </c>
      <c r="H38" s="7" t="s">
        <v>102</v>
      </c>
      <c r="I38" s="2" t="s">
        <v>195</v>
      </c>
      <c r="J38" s="2" t="n">
        <v>34</v>
      </c>
      <c r="K38" s="2" t="s">
        <v>196</v>
      </c>
      <c r="L38" s="2" t="n">
        <v>5</v>
      </c>
    </row>
    <row r="39" customFormat="false" ht="23.85" hidden="false" customHeight="false" outlineLevel="0" collapsed="false">
      <c r="A39" s="2" t="s">
        <v>197</v>
      </c>
      <c r="B39" s="2" t="s">
        <v>198</v>
      </c>
      <c r="C39" s="2" t="s">
        <v>14</v>
      </c>
      <c r="D39" s="5" t="s">
        <v>29</v>
      </c>
      <c r="E39" s="2" t="s">
        <v>199</v>
      </c>
      <c r="F39" s="2" t="s">
        <v>200</v>
      </c>
      <c r="G39" s="2" t="s">
        <v>146</v>
      </c>
      <c r="H39" s="8" t="s">
        <v>185</v>
      </c>
      <c r="I39" s="2" t="s">
        <v>201</v>
      </c>
      <c r="J39" s="2" t="n">
        <v>36</v>
      </c>
      <c r="K39" s="2" t="s">
        <v>202</v>
      </c>
      <c r="L39" s="2" t="n">
        <v>2</v>
      </c>
    </row>
    <row r="40" customFormat="false" ht="23.85" hidden="false" customHeight="false" outlineLevel="0" collapsed="false">
      <c r="A40" s="2" t="s">
        <v>203</v>
      </c>
      <c r="B40" s="2" t="s">
        <v>198</v>
      </c>
      <c r="C40" s="2" t="s">
        <v>28</v>
      </c>
      <c r="D40" s="6" t="s">
        <v>18</v>
      </c>
      <c r="E40" s="2" t="s">
        <v>204</v>
      </c>
      <c r="F40" s="2" t="s">
        <v>205</v>
      </c>
      <c r="G40" s="2" t="s">
        <v>48</v>
      </c>
      <c r="H40" s="4" t="s">
        <v>19</v>
      </c>
      <c r="I40" s="2" t="s">
        <v>206</v>
      </c>
      <c r="J40" s="2" t="n">
        <v>23</v>
      </c>
      <c r="K40" s="2" t="s">
        <v>50</v>
      </c>
      <c r="L40" s="2" t="n">
        <v>10</v>
      </c>
    </row>
    <row r="41" customFormat="false" ht="23.85" hidden="false" customHeight="false" outlineLevel="0" collapsed="false">
      <c r="A41" s="2" t="s">
        <v>207</v>
      </c>
      <c r="B41" s="2" t="s">
        <v>198</v>
      </c>
      <c r="C41" s="2" t="s">
        <v>28</v>
      </c>
      <c r="D41" s="5" t="s">
        <v>29</v>
      </c>
      <c r="E41" s="2" t="s">
        <v>208</v>
      </c>
      <c r="F41" s="2" t="s">
        <v>209</v>
      </c>
      <c r="G41" s="2" t="s">
        <v>18</v>
      </c>
      <c r="H41" s="4" t="s">
        <v>19</v>
      </c>
      <c r="I41" s="2" t="s">
        <v>210</v>
      </c>
      <c r="J41" s="2" t="n">
        <v>14</v>
      </c>
      <c r="K41" s="2" t="s">
        <v>55</v>
      </c>
      <c r="L41" s="2" t="n">
        <v>3</v>
      </c>
    </row>
    <row r="42" customFormat="false" ht="23.85" hidden="false" customHeight="false" outlineLevel="0" collapsed="false">
      <c r="A42" s="2" t="s">
        <v>211</v>
      </c>
      <c r="B42" s="2" t="s">
        <v>198</v>
      </c>
      <c r="C42" s="2" t="s">
        <v>70</v>
      </c>
      <c r="D42" s="5" t="s">
        <v>29</v>
      </c>
      <c r="E42" s="2" t="s">
        <v>212</v>
      </c>
      <c r="F42" s="2" t="s">
        <v>213</v>
      </c>
      <c r="G42" s="2" t="s">
        <v>146</v>
      </c>
      <c r="H42" s="4" t="s">
        <v>19</v>
      </c>
      <c r="I42" s="2" t="s">
        <v>214</v>
      </c>
      <c r="J42" s="2" t="n">
        <v>15</v>
      </c>
      <c r="K42" s="2" t="s">
        <v>168</v>
      </c>
      <c r="L42" s="2" t="n">
        <v>7</v>
      </c>
    </row>
    <row r="43" customFormat="false" ht="23.85" hidden="false" customHeight="false" outlineLevel="0" collapsed="false">
      <c r="A43" s="2" t="s">
        <v>215</v>
      </c>
      <c r="B43" s="2" t="s">
        <v>198</v>
      </c>
      <c r="C43" s="2" t="s">
        <v>70</v>
      </c>
      <c r="D43" s="5" t="s">
        <v>29</v>
      </c>
      <c r="E43" s="2" t="s">
        <v>216</v>
      </c>
      <c r="F43" s="2" t="s">
        <v>217</v>
      </c>
      <c r="G43" s="2" t="s">
        <v>146</v>
      </c>
      <c r="H43" s="8" t="s">
        <v>185</v>
      </c>
      <c r="I43" s="2" t="s">
        <v>218</v>
      </c>
      <c r="J43" s="2" t="n">
        <v>37</v>
      </c>
      <c r="K43" s="2" t="s">
        <v>202</v>
      </c>
      <c r="L43" s="2" t="n">
        <v>2</v>
      </c>
    </row>
    <row r="44" customFormat="false" ht="35.05" hidden="false" customHeight="false" outlineLevel="0" collapsed="false">
      <c r="A44" s="2" t="s">
        <v>219</v>
      </c>
      <c r="B44" s="2" t="s">
        <v>198</v>
      </c>
      <c r="C44" s="2" t="s">
        <v>70</v>
      </c>
      <c r="D44" s="6" t="s">
        <v>18</v>
      </c>
      <c r="E44" s="2" t="s">
        <v>220</v>
      </c>
      <c r="F44" s="2" t="s">
        <v>221</v>
      </c>
      <c r="G44" s="2" t="s">
        <v>146</v>
      </c>
      <c r="H44" s="8" t="s">
        <v>185</v>
      </c>
      <c r="I44" s="2" t="s">
        <v>222</v>
      </c>
      <c r="J44" s="2" t="n">
        <v>38</v>
      </c>
      <c r="K44" s="2" t="s">
        <v>50</v>
      </c>
      <c r="L44" s="2" t="n">
        <v>10</v>
      </c>
    </row>
  </sheetData>
  <autoFilter ref="A1:L4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J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8"/>
    <col collapsed="false" customWidth="true" hidden="false" outlineLevel="0" max="4" min="3" style="0" width="12"/>
    <col collapsed="false" customWidth="true" hidden="false" outlineLevel="0" max="6" min="5" style="0" width="14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10"/>
    <col collapsed="false" customWidth="true" hidden="false" outlineLevel="0" max="10" min="10" style="0" width="30"/>
  </cols>
  <sheetData>
    <row r="1" customFormat="false" ht="26.85" hidden="false" customHeight="false" outlineLevel="0" collapsed="false">
      <c r="A1" s="1" t="s">
        <v>223</v>
      </c>
      <c r="B1" s="1" t="s">
        <v>224</v>
      </c>
      <c r="C1" s="1" t="s">
        <v>225</v>
      </c>
      <c r="D1" s="1" t="s">
        <v>226</v>
      </c>
      <c r="E1" s="1" t="s">
        <v>227</v>
      </c>
      <c r="F1" s="1" t="s">
        <v>228</v>
      </c>
      <c r="G1" s="1" t="s">
        <v>229</v>
      </c>
      <c r="H1" s="1" t="s">
        <v>230</v>
      </c>
      <c r="I1" s="1" t="s">
        <v>231</v>
      </c>
      <c r="J1" s="1" t="s">
        <v>232</v>
      </c>
    </row>
    <row r="2" customFormat="false" ht="15" hidden="false" customHeight="false" outlineLevel="0" collapsed="false">
      <c r="A2" s="2" t="s">
        <v>233</v>
      </c>
      <c r="B2" s="2" t="s">
        <v>13</v>
      </c>
      <c r="C2" s="2" t="n">
        <v>12</v>
      </c>
      <c r="D2" s="2" t="n">
        <v>2</v>
      </c>
      <c r="E2" s="2" t="n">
        <v>8</v>
      </c>
      <c r="F2" s="2" t="n">
        <v>2</v>
      </c>
      <c r="G2" s="2" t="n">
        <v>12</v>
      </c>
      <c r="H2" s="2" t="n">
        <v>0</v>
      </c>
      <c r="I2" s="2" t="n">
        <v>0</v>
      </c>
      <c r="J2" s="2" t="s">
        <v>234</v>
      </c>
    </row>
    <row r="3" customFormat="false" ht="15" hidden="false" customHeight="false" outlineLevel="0" collapsed="false">
      <c r="A3" s="2" t="s">
        <v>235</v>
      </c>
      <c r="B3" s="2" t="s">
        <v>80</v>
      </c>
      <c r="C3" s="2" t="n">
        <v>5</v>
      </c>
      <c r="D3" s="2" t="n">
        <v>2</v>
      </c>
      <c r="E3" s="2" t="n">
        <v>2</v>
      </c>
      <c r="F3" s="2" t="n">
        <v>1</v>
      </c>
      <c r="G3" s="2" t="n">
        <v>4</v>
      </c>
      <c r="H3" s="2" t="n">
        <v>1</v>
      </c>
      <c r="I3" s="2" t="n">
        <v>0</v>
      </c>
      <c r="J3" s="2" t="s">
        <v>236</v>
      </c>
    </row>
    <row r="4" customFormat="false" ht="15" hidden="false" customHeight="false" outlineLevel="0" collapsed="false">
      <c r="A4" s="2" t="s">
        <v>237</v>
      </c>
      <c r="B4" s="2" t="s">
        <v>106</v>
      </c>
      <c r="C4" s="2" t="n">
        <v>13</v>
      </c>
      <c r="D4" s="2" t="n">
        <v>3</v>
      </c>
      <c r="E4" s="2" t="n">
        <v>6</v>
      </c>
      <c r="F4" s="2" t="n">
        <v>4</v>
      </c>
      <c r="G4" s="2" t="n">
        <v>11</v>
      </c>
      <c r="H4" s="2" t="n">
        <v>2</v>
      </c>
      <c r="I4" s="2" t="n">
        <v>0</v>
      </c>
      <c r="J4" s="2" t="s">
        <v>238</v>
      </c>
    </row>
    <row r="5" customFormat="false" ht="15" hidden="false" customHeight="false" outlineLevel="0" collapsed="false">
      <c r="A5" s="2" t="s">
        <v>239</v>
      </c>
      <c r="B5" s="2" t="s">
        <v>164</v>
      </c>
      <c r="C5" s="2" t="n">
        <v>7</v>
      </c>
      <c r="D5" s="2" t="n">
        <v>0</v>
      </c>
      <c r="E5" s="2" t="n">
        <v>4</v>
      </c>
      <c r="F5" s="2" t="n">
        <v>3</v>
      </c>
      <c r="G5" s="2" t="n">
        <v>3</v>
      </c>
      <c r="H5" s="2" t="n">
        <v>3</v>
      </c>
      <c r="I5" s="2" t="n">
        <v>1</v>
      </c>
      <c r="J5" s="2" t="s">
        <v>240</v>
      </c>
    </row>
    <row r="6" customFormat="false" ht="15" hidden="false" customHeight="false" outlineLevel="0" collapsed="false">
      <c r="A6" s="2" t="s">
        <v>241</v>
      </c>
      <c r="B6" s="2" t="s">
        <v>198</v>
      </c>
      <c r="C6" s="2" t="n">
        <v>6</v>
      </c>
      <c r="D6" s="2" t="n">
        <v>1</v>
      </c>
      <c r="E6" s="2" t="n">
        <v>2</v>
      </c>
      <c r="F6" s="2" t="n">
        <v>3</v>
      </c>
      <c r="G6" s="2" t="n">
        <v>3</v>
      </c>
      <c r="H6" s="2" t="n">
        <v>0</v>
      </c>
      <c r="I6" s="2" t="n">
        <v>3</v>
      </c>
      <c r="J6" s="2" t="s">
        <v>242</v>
      </c>
    </row>
    <row r="7" customFormat="false" ht="15" hidden="false" customHeight="false" outlineLevel="0" collapsed="false">
      <c r="A7" s="9" t="s">
        <v>243</v>
      </c>
      <c r="B7" s="9"/>
      <c r="C7" s="2" t="n">
        <f aca="false">SUM(C2:C6)</f>
        <v>43</v>
      </c>
      <c r="D7" s="2" t="n">
        <f aca="false">SUM(D2:D6)</f>
        <v>8</v>
      </c>
      <c r="E7" s="2" t="n">
        <f aca="false">SUM(E2:E6)</f>
        <v>22</v>
      </c>
      <c r="F7" s="2" t="n">
        <f aca="false">SUM(F2:F6)</f>
        <v>13</v>
      </c>
      <c r="G7" s="2" t="n">
        <f aca="false">SUM(G2:G6)</f>
        <v>33</v>
      </c>
      <c r="H7" s="2" t="n">
        <f aca="false">SUM(H2:H6)</f>
        <v>6</v>
      </c>
      <c r="I7" s="2" t="n">
        <f aca="false">SUM(I2:I6)</f>
        <v>4</v>
      </c>
      <c r="J7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N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8"/>
    <col collapsed="false" customWidth="true" hidden="false" outlineLevel="0" max="3" min="3" style="0" width="42"/>
    <col collapsed="false" customWidth="true" hidden="false" outlineLevel="0" max="13" min="4" style="0" width="10"/>
    <col collapsed="false" customWidth="true" hidden="false" outlineLevel="0" max="14" min="14" style="0" width="8"/>
  </cols>
  <sheetData>
    <row r="1" customFormat="false" ht="26.85" hidden="false" customHeight="false" outlineLevel="0" collapsed="false">
      <c r="A1" s="1" t="s">
        <v>0</v>
      </c>
      <c r="B1" s="1" t="s">
        <v>244</v>
      </c>
      <c r="C1" s="1" t="s">
        <v>4</v>
      </c>
      <c r="D1" s="1" t="s">
        <v>245</v>
      </c>
      <c r="E1" s="1" t="s">
        <v>246</v>
      </c>
      <c r="F1" s="1" t="s">
        <v>247</v>
      </c>
      <c r="G1" s="1" t="s">
        <v>248</v>
      </c>
      <c r="H1" s="1" t="s">
        <v>249</v>
      </c>
      <c r="I1" s="1" t="s">
        <v>250</v>
      </c>
      <c r="J1" s="1" t="s">
        <v>251</v>
      </c>
      <c r="K1" s="1" t="s">
        <v>252</v>
      </c>
      <c r="L1" s="1" t="s">
        <v>253</v>
      </c>
      <c r="M1" s="1" t="s">
        <v>254</v>
      </c>
      <c r="N1" s="1" t="s">
        <v>255</v>
      </c>
    </row>
    <row r="2" customFormat="false" ht="15" hidden="false" customHeight="false" outlineLevel="0" collapsed="false">
      <c r="A2" s="2" t="s">
        <v>12</v>
      </c>
      <c r="B2" s="2" t="s">
        <v>256</v>
      </c>
      <c r="C2" s="2" t="s">
        <v>16</v>
      </c>
      <c r="D2" s="10" t="s">
        <v>257</v>
      </c>
      <c r="E2" s="2"/>
      <c r="F2" s="2"/>
      <c r="G2" s="2"/>
      <c r="H2" s="10" t="s">
        <v>257</v>
      </c>
      <c r="I2" s="2"/>
      <c r="J2" s="2"/>
      <c r="K2" s="2"/>
      <c r="L2" s="2"/>
      <c r="M2" s="2"/>
      <c r="N2" s="2" t="n">
        <v>2</v>
      </c>
    </row>
    <row r="3" customFormat="false" ht="15" hidden="false" customHeight="false" outlineLevel="0" collapsed="false">
      <c r="A3" s="2" t="s">
        <v>22</v>
      </c>
      <c r="B3" s="2" t="s">
        <v>256</v>
      </c>
      <c r="C3" s="2" t="s">
        <v>23</v>
      </c>
      <c r="D3" s="2"/>
      <c r="E3" s="10" t="s">
        <v>257</v>
      </c>
      <c r="F3" s="10" t="s">
        <v>257</v>
      </c>
      <c r="G3" s="10" t="s">
        <v>257</v>
      </c>
      <c r="H3" s="2"/>
      <c r="I3" s="2"/>
      <c r="J3" s="2"/>
      <c r="K3" s="2"/>
      <c r="L3" s="2"/>
      <c r="M3" s="2"/>
      <c r="N3" s="2" t="n">
        <v>3</v>
      </c>
    </row>
    <row r="4" customFormat="false" ht="15" hidden="false" customHeight="false" outlineLevel="0" collapsed="false">
      <c r="A4" s="2" t="s">
        <v>27</v>
      </c>
      <c r="B4" s="2" t="s">
        <v>256</v>
      </c>
      <c r="C4" s="2" t="s">
        <v>30</v>
      </c>
      <c r="D4" s="2"/>
      <c r="E4" s="2"/>
      <c r="F4" s="2"/>
      <c r="G4" s="2"/>
      <c r="H4" s="2"/>
      <c r="I4" s="2"/>
      <c r="J4" s="2"/>
      <c r="K4" s="2"/>
      <c r="L4" s="10" t="s">
        <v>257</v>
      </c>
      <c r="M4" s="2"/>
      <c r="N4" s="2" t="n">
        <v>1</v>
      </c>
    </row>
    <row r="5" customFormat="false" ht="15" hidden="false" customHeight="false" outlineLevel="0" collapsed="false">
      <c r="A5" s="2" t="s">
        <v>34</v>
      </c>
      <c r="B5" s="2" t="s">
        <v>256</v>
      </c>
      <c r="C5" s="2" t="s">
        <v>35</v>
      </c>
      <c r="D5" s="2"/>
      <c r="E5" s="2"/>
      <c r="F5" s="2"/>
      <c r="G5" s="2"/>
      <c r="H5" s="2"/>
      <c r="I5" s="2"/>
      <c r="J5" s="2"/>
      <c r="K5" s="2"/>
      <c r="L5" s="2"/>
      <c r="M5" s="2"/>
      <c r="N5" s="2" t="n">
        <v>0</v>
      </c>
    </row>
    <row r="6" customFormat="false" ht="15" hidden="false" customHeight="false" outlineLevel="0" collapsed="false">
      <c r="A6" s="2" t="s">
        <v>40</v>
      </c>
      <c r="B6" s="2" t="s">
        <v>256</v>
      </c>
      <c r="C6" s="2" t="s">
        <v>41</v>
      </c>
      <c r="D6" s="2"/>
      <c r="E6" s="2"/>
      <c r="F6" s="2"/>
      <c r="G6" s="2"/>
      <c r="H6" s="10" t="s">
        <v>257</v>
      </c>
      <c r="I6" s="10" t="s">
        <v>257</v>
      </c>
      <c r="J6" s="10" t="s">
        <v>257</v>
      </c>
      <c r="K6" s="2"/>
      <c r="L6" s="10" t="s">
        <v>257</v>
      </c>
      <c r="M6" s="2"/>
      <c r="N6" s="2" t="n">
        <v>4</v>
      </c>
    </row>
    <row r="7" customFormat="false" ht="23.85" hidden="false" customHeight="false" outlineLevel="0" collapsed="false">
      <c r="A7" s="2" t="s">
        <v>45</v>
      </c>
      <c r="B7" s="2" t="s">
        <v>256</v>
      </c>
      <c r="C7" s="2" t="s">
        <v>46</v>
      </c>
      <c r="D7" s="10" t="s">
        <v>257</v>
      </c>
      <c r="E7" s="10" t="s">
        <v>257</v>
      </c>
      <c r="F7" s="10" t="s">
        <v>257</v>
      </c>
      <c r="G7" s="10" t="s">
        <v>257</v>
      </c>
      <c r="H7" s="10" t="s">
        <v>257</v>
      </c>
      <c r="I7" s="10" t="s">
        <v>257</v>
      </c>
      <c r="J7" s="10" t="s">
        <v>257</v>
      </c>
      <c r="K7" s="10" t="s">
        <v>257</v>
      </c>
      <c r="L7" s="10" t="s">
        <v>257</v>
      </c>
      <c r="M7" s="10" t="s">
        <v>257</v>
      </c>
      <c r="N7" s="2" t="n">
        <v>10</v>
      </c>
    </row>
    <row r="8" customFormat="false" ht="15" hidden="false" customHeight="false" outlineLevel="0" collapsed="false">
      <c r="A8" s="2" t="s">
        <v>51</v>
      </c>
      <c r="B8" s="2" t="s">
        <v>256</v>
      </c>
      <c r="C8" s="2" t="s">
        <v>52</v>
      </c>
      <c r="D8" s="2"/>
      <c r="E8" s="2"/>
      <c r="F8" s="10" t="s">
        <v>257</v>
      </c>
      <c r="G8" s="2"/>
      <c r="H8" s="2"/>
      <c r="I8" s="2"/>
      <c r="J8" s="2"/>
      <c r="K8" s="10" t="s">
        <v>257</v>
      </c>
      <c r="L8" s="2"/>
      <c r="M8" s="10" t="s">
        <v>257</v>
      </c>
      <c r="N8" s="2" t="n">
        <v>3</v>
      </c>
    </row>
    <row r="9" customFormat="false" ht="15" hidden="false" customHeight="false" outlineLevel="0" collapsed="false">
      <c r="A9" s="2" t="s">
        <v>56</v>
      </c>
      <c r="B9" s="2" t="s">
        <v>256</v>
      </c>
      <c r="C9" s="2" t="s">
        <v>57</v>
      </c>
      <c r="D9" s="10" t="s">
        <v>257</v>
      </c>
      <c r="E9" s="2"/>
      <c r="F9" s="2"/>
      <c r="G9" s="2"/>
      <c r="H9" s="10" t="s">
        <v>257</v>
      </c>
      <c r="I9" s="2"/>
      <c r="J9" s="10" t="s">
        <v>257</v>
      </c>
      <c r="K9" s="2"/>
      <c r="L9" s="10" t="s">
        <v>257</v>
      </c>
      <c r="M9" s="2"/>
      <c r="N9" s="2" t="n">
        <v>4</v>
      </c>
    </row>
    <row r="10" customFormat="false" ht="15" hidden="false" customHeight="false" outlineLevel="0" collapsed="false">
      <c r="A10" s="2" t="s">
        <v>61</v>
      </c>
      <c r="B10" s="2" t="s">
        <v>256</v>
      </c>
      <c r="C10" s="2" t="s">
        <v>62</v>
      </c>
      <c r="D10" s="10" t="s">
        <v>257</v>
      </c>
      <c r="E10" s="10" t="s">
        <v>257</v>
      </c>
      <c r="F10" s="10" t="s">
        <v>257</v>
      </c>
      <c r="G10" s="10" t="s">
        <v>257</v>
      </c>
      <c r="H10" s="10" t="s">
        <v>257</v>
      </c>
      <c r="I10" s="10" t="s">
        <v>257</v>
      </c>
      <c r="J10" s="10" t="s">
        <v>257</v>
      </c>
      <c r="K10" s="10" t="s">
        <v>257</v>
      </c>
      <c r="L10" s="10" t="s">
        <v>257</v>
      </c>
      <c r="M10" s="10" t="s">
        <v>257</v>
      </c>
      <c r="N10" s="2" t="n">
        <v>10</v>
      </c>
    </row>
    <row r="11" customFormat="false" ht="15" hidden="false" customHeight="false" outlineLevel="0" collapsed="false">
      <c r="A11" s="2" t="s">
        <v>65</v>
      </c>
      <c r="B11" s="2" t="s">
        <v>256</v>
      </c>
      <c r="C11" s="2" t="s">
        <v>66</v>
      </c>
      <c r="D11" s="10" t="s">
        <v>257</v>
      </c>
      <c r="E11" s="10" t="s">
        <v>257</v>
      </c>
      <c r="F11" s="10" t="s">
        <v>257</v>
      </c>
      <c r="G11" s="10" t="s">
        <v>257</v>
      </c>
      <c r="H11" s="10" t="s">
        <v>257</v>
      </c>
      <c r="I11" s="10" t="s">
        <v>257</v>
      </c>
      <c r="J11" s="10" t="s">
        <v>257</v>
      </c>
      <c r="K11" s="10" t="s">
        <v>257</v>
      </c>
      <c r="L11" s="10" t="s">
        <v>257</v>
      </c>
      <c r="M11" s="10" t="s">
        <v>257</v>
      </c>
      <c r="N11" s="2" t="n">
        <v>10</v>
      </c>
    </row>
    <row r="12" customFormat="false" ht="15" hidden="false" customHeight="false" outlineLevel="0" collapsed="false">
      <c r="A12" s="2" t="s">
        <v>69</v>
      </c>
      <c r="B12" s="2" t="s">
        <v>256</v>
      </c>
      <c r="C12" s="2" t="s">
        <v>71</v>
      </c>
      <c r="D12" s="10" t="s">
        <v>257</v>
      </c>
      <c r="E12" s="2"/>
      <c r="F12" s="2"/>
      <c r="G12" s="2"/>
      <c r="H12" s="10" t="s">
        <v>257</v>
      </c>
      <c r="I12" s="2"/>
      <c r="J12" s="10" t="s">
        <v>257</v>
      </c>
      <c r="K12" s="2"/>
      <c r="L12" s="10" t="s">
        <v>257</v>
      </c>
      <c r="M12" s="2"/>
      <c r="N12" s="2" t="n">
        <v>4</v>
      </c>
    </row>
    <row r="13" customFormat="false" ht="15" hidden="false" customHeight="false" outlineLevel="0" collapsed="false">
      <c r="A13" s="2" t="s">
        <v>74</v>
      </c>
      <c r="B13" s="2" t="s">
        <v>256</v>
      </c>
      <c r="C13" s="2" t="s">
        <v>75</v>
      </c>
      <c r="D13" s="2"/>
      <c r="E13" s="2"/>
      <c r="F13" s="2"/>
      <c r="G13" s="2"/>
      <c r="H13" s="2"/>
      <c r="I13" s="10" t="s">
        <v>257</v>
      </c>
      <c r="J13" s="2"/>
      <c r="K13" s="2"/>
      <c r="L13" s="2"/>
      <c r="M13" s="2"/>
      <c r="N13" s="2" t="n">
        <v>1</v>
      </c>
    </row>
    <row r="14" customFormat="false" ht="15" hidden="false" customHeight="false" outlineLevel="0" collapsed="false">
      <c r="A14" s="2" t="s">
        <v>79</v>
      </c>
      <c r="B14" s="2" t="s">
        <v>258</v>
      </c>
      <c r="C14" s="2" t="s">
        <v>81</v>
      </c>
      <c r="D14" s="10" t="s">
        <v>257</v>
      </c>
      <c r="E14" s="10" t="s">
        <v>257</v>
      </c>
      <c r="F14" s="10" t="s">
        <v>257</v>
      </c>
      <c r="G14" s="10" t="s">
        <v>257</v>
      </c>
      <c r="H14" s="10" t="s">
        <v>257</v>
      </c>
      <c r="I14" s="10" t="s">
        <v>257</v>
      </c>
      <c r="J14" s="10" t="s">
        <v>257</v>
      </c>
      <c r="K14" s="10" t="s">
        <v>257</v>
      </c>
      <c r="L14" s="10" t="s">
        <v>257</v>
      </c>
      <c r="M14" s="10" t="s">
        <v>257</v>
      </c>
      <c r="N14" s="2" t="n">
        <v>10</v>
      </c>
    </row>
    <row r="15" customFormat="false" ht="23.85" hidden="false" customHeight="false" outlineLevel="0" collapsed="false">
      <c r="A15" s="2" t="s">
        <v>84</v>
      </c>
      <c r="B15" s="2" t="s">
        <v>258</v>
      </c>
      <c r="C15" s="2" t="s">
        <v>85</v>
      </c>
      <c r="D15" s="10" t="s">
        <v>257</v>
      </c>
      <c r="E15" s="2"/>
      <c r="F15" s="10" t="s">
        <v>257</v>
      </c>
      <c r="G15" s="2"/>
      <c r="H15" s="10" t="s">
        <v>257</v>
      </c>
      <c r="I15" s="2"/>
      <c r="J15" s="10" t="s">
        <v>257</v>
      </c>
      <c r="K15" s="2"/>
      <c r="L15" s="10" t="s">
        <v>257</v>
      </c>
      <c r="M15" s="2"/>
      <c r="N15" s="2" t="n">
        <v>5</v>
      </c>
    </row>
    <row r="16" customFormat="false" ht="15" hidden="false" customHeight="false" outlineLevel="0" collapsed="false">
      <c r="A16" s="2" t="s">
        <v>89</v>
      </c>
      <c r="B16" s="2" t="s">
        <v>258</v>
      </c>
      <c r="C16" s="2" t="s">
        <v>90</v>
      </c>
      <c r="D16" s="2"/>
      <c r="E16" s="2"/>
      <c r="F16" s="10" t="s">
        <v>257</v>
      </c>
      <c r="G16" s="2"/>
      <c r="H16" s="2"/>
      <c r="I16" s="2"/>
      <c r="J16" s="2"/>
      <c r="K16" s="10" t="s">
        <v>257</v>
      </c>
      <c r="L16" s="10" t="s">
        <v>257</v>
      </c>
      <c r="M16" s="10" t="s">
        <v>257</v>
      </c>
      <c r="N16" s="2" t="n">
        <v>4</v>
      </c>
    </row>
    <row r="17" customFormat="false" ht="15" hidden="false" customHeight="false" outlineLevel="0" collapsed="false">
      <c r="A17" s="2" t="s">
        <v>94</v>
      </c>
      <c r="B17" s="2" t="s">
        <v>258</v>
      </c>
      <c r="C17" s="2" t="s">
        <v>95</v>
      </c>
      <c r="D17" s="2"/>
      <c r="E17" s="2"/>
      <c r="F17" s="10" t="s">
        <v>257</v>
      </c>
      <c r="G17" s="2"/>
      <c r="H17" s="2"/>
      <c r="I17" s="2"/>
      <c r="J17" s="2"/>
      <c r="K17" s="10" t="s">
        <v>257</v>
      </c>
      <c r="L17" s="10" t="s">
        <v>257</v>
      </c>
      <c r="M17" s="2"/>
      <c r="N17" s="2" t="n">
        <v>3</v>
      </c>
    </row>
    <row r="18" customFormat="false" ht="15" hidden="false" customHeight="false" outlineLevel="0" collapsed="false">
      <c r="A18" s="2" t="s">
        <v>99</v>
      </c>
      <c r="B18" s="2" t="s">
        <v>258</v>
      </c>
      <c r="C18" s="2" t="s">
        <v>100</v>
      </c>
      <c r="D18" s="2"/>
      <c r="E18" s="10" t="s">
        <v>257</v>
      </c>
      <c r="F18" s="10" t="s">
        <v>257</v>
      </c>
      <c r="G18" s="2"/>
      <c r="H18" s="2"/>
      <c r="I18" s="2"/>
      <c r="J18" s="2"/>
      <c r="K18" s="10" t="s">
        <v>257</v>
      </c>
      <c r="L18" s="2"/>
      <c r="M18" s="10" t="s">
        <v>257</v>
      </c>
      <c r="N18" s="2" t="n">
        <v>4</v>
      </c>
    </row>
    <row r="19" customFormat="false" ht="23.85" hidden="false" customHeight="false" outlineLevel="0" collapsed="false">
      <c r="A19" s="2" t="s">
        <v>105</v>
      </c>
      <c r="B19" s="2" t="s">
        <v>259</v>
      </c>
      <c r="C19" s="2" t="s">
        <v>107</v>
      </c>
      <c r="D19" s="10" t="s">
        <v>257</v>
      </c>
      <c r="E19" s="10" t="s">
        <v>257</v>
      </c>
      <c r="F19" s="10" t="s">
        <v>257</v>
      </c>
      <c r="G19" s="10" t="s">
        <v>257</v>
      </c>
      <c r="H19" s="10" t="s">
        <v>257</v>
      </c>
      <c r="I19" s="10" t="s">
        <v>257</v>
      </c>
      <c r="J19" s="10" t="s">
        <v>257</v>
      </c>
      <c r="K19" s="10" t="s">
        <v>257</v>
      </c>
      <c r="L19" s="10" t="s">
        <v>257</v>
      </c>
      <c r="M19" s="10" t="s">
        <v>257</v>
      </c>
      <c r="N19" s="2" t="n">
        <v>10</v>
      </c>
    </row>
    <row r="20" customFormat="false" ht="15" hidden="false" customHeight="false" outlineLevel="0" collapsed="false">
      <c r="A20" s="2" t="s">
        <v>110</v>
      </c>
      <c r="B20" s="2" t="s">
        <v>259</v>
      </c>
      <c r="C20" s="2" t="s">
        <v>111</v>
      </c>
      <c r="D20" s="10" t="s">
        <v>257</v>
      </c>
      <c r="E20" s="10" t="s">
        <v>257</v>
      </c>
      <c r="F20" s="10" t="s">
        <v>257</v>
      </c>
      <c r="G20" s="10" t="s">
        <v>257</v>
      </c>
      <c r="H20" s="10" t="s">
        <v>257</v>
      </c>
      <c r="I20" s="10" t="s">
        <v>257</v>
      </c>
      <c r="J20" s="10" t="s">
        <v>257</v>
      </c>
      <c r="K20" s="10" t="s">
        <v>257</v>
      </c>
      <c r="L20" s="10" t="s">
        <v>257</v>
      </c>
      <c r="M20" s="10" t="s">
        <v>257</v>
      </c>
      <c r="N20" s="2" t="n">
        <v>10</v>
      </c>
    </row>
    <row r="21" customFormat="false" ht="15" hidden="false" customHeight="false" outlineLevel="0" collapsed="false">
      <c r="A21" s="2" t="s">
        <v>114</v>
      </c>
      <c r="B21" s="2" t="s">
        <v>259</v>
      </c>
      <c r="C21" s="2" t="s">
        <v>115</v>
      </c>
      <c r="D21" s="10" t="s">
        <v>257</v>
      </c>
      <c r="E21" s="10" t="s">
        <v>257</v>
      </c>
      <c r="F21" s="10" t="s">
        <v>257</v>
      </c>
      <c r="G21" s="10" t="s">
        <v>257</v>
      </c>
      <c r="H21" s="10" t="s">
        <v>257</v>
      </c>
      <c r="I21" s="10" t="s">
        <v>257</v>
      </c>
      <c r="J21" s="10" t="s">
        <v>257</v>
      </c>
      <c r="K21" s="10" t="s">
        <v>257</v>
      </c>
      <c r="L21" s="10" t="s">
        <v>257</v>
      </c>
      <c r="M21" s="10" t="s">
        <v>257</v>
      </c>
      <c r="N21" s="2" t="n">
        <v>10</v>
      </c>
    </row>
    <row r="22" customFormat="false" ht="15" hidden="false" customHeight="false" outlineLevel="0" collapsed="false">
      <c r="A22" s="2" t="s">
        <v>118</v>
      </c>
      <c r="B22" s="2" t="s">
        <v>259</v>
      </c>
      <c r="C22" s="2" t="s">
        <v>119</v>
      </c>
      <c r="D22" s="10" t="s">
        <v>257</v>
      </c>
      <c r="E22" s="10" t="s">
        <v>257</v>
      </c>
      <c r="F22" s="10" t="s">
        <v>257</v>
      </c>
      <c r="G22" s="10" t="s">
        <v>257</v>
      </c>
      <c r="H22" s="10" t="s">
        <v>257</v>
      </c>
      <c r="I22" s="10" t="s">
        <v>257</v>
      </c>
      <c r="J22" s="10" t="s">
        <v>257</v>
      </c>
      <c r="K22" s="10" t="s">
        <v>257</v>
      </c>
      <c r="L22" s="10" t="s">
        <v>257</v>
      </c>
      <c r="M22" s="10" t="s">
        <v>257</v>
      </c>
      <c r="N22" s="2" t="n">
        <v>10</v>
      </c>
    </row>
    <row r="23" customFormat="false" ht="15" hidden="false" customHeight="false" outlineLevel="0" collapsed="false">
      <c r="A23" s="2" t="s">
        <v>122</v>
      </c>
      <c r="B23" s="2" t="s">
        <v>259</v>
      </c>
      <c r="C23" s="2" t="s">
        <v>123</v>
      </c>
      <c r="D23" s="10" t="s">
        <v>257</v>
      </c>
      <c r="E23" s="10" t="s">
        <v>257</v>
      </c>
      <c r="F23" s="10" t="s">
        <v>257</v>
      </c>
      <c r="G23" s="10" t="s">
        <v>257</v>
      </c>
      <c r="H23" s="10" t="s">
        <v>257</v>
      </c>
      <c r="I23" s="10" t="s">
        <v>257</v>
      </c>
      <c r="J23" s="10" t="s">
        <v>257</v>
      </c>
      <c r="K23" s="10" t="s">
        <v>257</v>
      </c>
      <c r="L23" s="10" t="s">
        <v>257</v>
      </c>
      <c r="M23" s="10" t="s">
        <v>257</v>
      </c>
      <c r="N23" s="2" t="n">
        <v>10</v>
      </c>
    </row>
    <row r="24" customFormat="false" ht="15" hidden="false" customHeight="false" outlineLevel="0" collapsed="false">
      <c r="A24" s="2" t="s">
        <v>126</v>
      </c>
      <c r="B24" s="2" t="s">
        <v>259</v>
      </c>
      <c r="C24" s="2" t="s">
        <v>127</v>
      </c>
      <c r="D24" s="10" t="s">
        <v>257</v>
      </c>
      <c r="E24" s="2"/>
      <c r="F24" s="2"/>
      <c r="G24" s="2"/>
      <c r="H24" s="2"/>
      <c r="I24" s="2"/>
      <c r="J24" s="2"/>
      <c r="K24" s="10" t="s">
        <v>257</v>
      </c>
      <c r="L24" s="10" t="s">
        <v>257</v>
      </c>
      <c r="M24" s="2"/>
      <c r="N24" s="2" t="n">
        <v>3</v>
      </c>
    </row>
    <row r="25" customFormat="false" ht="15" hidden="false" customHeight="false" outlineLevel="0" collapsed="false">
      <c r="A25" s="2" t="s">
        <v>131</v>
      </c>
      <c r="B25" s="2" t="s">
        <v>259</v>
      </c>
      <c r="C25" s="2" t="s">
        <v>132</v>
      </c>
      <c r="D25" s="10" t="s">
        <v>257</v>
      </c>
      <c r="E25" s="10" t="s">
        <v>257</v>
      </c>
      <c r="F25" s="10" t="s">
        <v>257</v>
      </c>
      <c r="G25" s="10" t="s">
        <v>257</v>
      </c>
      <c r="H25" s="10" t="s">
        <v>257</v>
      </c>
      <c r="I25" s="10" t="s">
        <v>257</v>
      </c>
      <c r="J25" s="10" t="s">
        <v>257</v>
      </c>
      <c r="K25" s="10" t="s">
        <v>257</v>
      </c>
      <c r="L25" s="10" t="s">
        <v>257</v>
      </c>
      <c r="M25" s="10" t="s">
        <v>257</v>
      </c>
      <c r="N25" s="2" t="n">
        <v>10</v>
      </c>
    </row>
    <row r="26" customFormat="false" ht="15" hidden="false" customHeight="false" outlineLevel="0" collapsed="false">
      <c r="A26" s="2" t="s">
        <v>135</v>
      </c>
      <c r="B26" s="2" t="s">
        <v>259</v>
      </c>
      <c r="C26" s="2" t="s">
        <v>136</v>
      </c>
      <c r="D26" s="10" t="s">
        <v>257</v>
      </c>
      <c r="E26" s="10" t="s">
        <v>257</v>
      </c>
      <c r="F26" s="10" t="s">
        <v>257</v>
      </c>
      <c r="G26" s="10" t="s">
        <v>257</v>
      </c>
      <c r="H26" s="10" t="s">
        <v>257</v>
      </c>
      <c r="I26" s="10" t="s">
        <v>257</v>
      </c>
      <c r="J26" s="10" t="s">
        <v>257</v>
      </c>
      <c r="K26" s="10" t="s">
        <v>257</v>
      </c>
      <c r="L26" s="10" t="s">
        <v>257</v>
      </c>
      <c r="M26" s="10" t="s">
        <v>257</v>
      </c>
      <c r="N26" s="2" t="n">
        <v>10</v>
      </c>
    </row>
    <row r="27" customFormat="false" ht="15" hidden="false" customHeight="false" outlineLevel="0" collapsed="false">
      <c r="A27" s="2" t="s">
        <v>139</v>
      </c>
      <c r="B27" s="2" t="s">
        <v>259</v>
      </c>
      <c r="C27" s="2" t="s">
        <v>140</v>
      </c>
      <c r="D27" s="10" t="s">
        <v>257</v>
      </c>
      <c r="E27" s="10" t="s">
        <v>257</v>
      </c>
      <c r="F27" s="10" t="s">
        <v>257</v>
      </c>
      <c r="G27" s="10" t="s">
        <v>257</v>
      </c>
      <c r="H27" s="10" t="s">
        <v>257</v>
      </c>
      <c r="I27" s="10" t="s">
        <v>257</v>
      </c>
      <c r="J27" s="10" t="s">
        <v>257</v>
      </c>
      <c r="K27" s="10" t="s">
        <v>257</v>
      </c>
      <c r="L27" s="10" t="s">
        <v>257</v>
      </c>
      <c r="M27" s="10" t="s">
        <v>257</v>
      </c>
      <c r="N27" s="2" t="n">
        <v>10</v>
      </c>
    </row>
    <row r="28" customFormat="false" ht="15" hidden="false" customHeight="false" outlineLevel="0" collapsed="false">
      <c r="A28" s="2" t="s">
        <v>143</v>
      </c>
      <c r="B28" s="2" t="s">
        <v>259</v>
      </c>
      <c r="C28" s="2" t="s">
        <v>144</v>
      </c>
      <c r="D28" s="2"/>
      <c r="E28" s="2"/>
      <c r="F28" s="10" t="s">
        <v>257</v>
      </c>
      <c r="G28" s="2"/>
      <c r="H28" s="2"/>
      <c r="I28" s="2"/>
      <c r="J28" s="2"/>
      <c r="K28" s="10" t="s">
        <v>257</v>
      </c>
      <c r="L28" s="2"/>
      <c r="M28" s="10" t="s">
        <v>257</v>
      </c>
      <c r="N28" s="2" t="n">
        <v>3</v>
      </c>
    </row>
    <row r="29" customFormat="false" ht="15" hidden="false" customHeight="false" outlineLevel="0" collapsed="false">
      <c r="A29" s="2" t="s">
        <v>148</v>
      </c>
      <c r="B29" s="2" t="s">
        <v>259</v>
      </c>
      <c r="C29" s="2" t="s">
        <v>149</v>
      </c>
      <c r="D29" s="2"/>
      <c r="E29" s="2"/>
      <c r="F29" s="2"/>
      <c r="G29" s="2"/>
      <c r="H29" s="2"/>
      <c r="I29" s="2"/>
      <c r="J29" s="10" t="s">
        <v>257</v>
      </c>
      <c r="K29" s="10" t="s">
        <v>257</v>
      </c>
      <c r="L29" s="10" t="s">
        <v>257</v>
      </c>
      <c r="M29" s="2"/>
      <c r="N29" s="2" t="n">
        <v>3</v>
      </c>
    </row>
    <row r="30" customFormat="false" ht="15" hidden="false" customHeight="false" outlineLevel="0" collapsed="false">
      <c r="A30" s="2" t="s">
        <v>153</v>
      </c>
      <c r="B30" s="2" t="s">
        <v>259</v>
      </c>
      <c r="C30" s="2" t="s">
        <v>154</v>
      </c>
      <c r="D30" s="10" t="s">
        <v>257</v>
      </c>
      <c r="E30" s="2"/>
      <c r="F30" s="2"/>
      <c r="G30" s="2"/>
      <c r="H30" s="10" t="s">
        <v>257</v>
      </c>
      <c r="I30" s="2"/>
      <c r="J30" s="10" t="s">
        <v>257</v>
      </c>
      <c r="K30" s="10" t="s">
        <v>257</v>
      </c>
      <c r="L30" s="10" t="s">
        <v>257</v>
      </c>
      <c r="M30" s="2"/>
      <c r="N30" s="2" t="n">
        <v>5</v>
      </c>
    </row>
    <row r="31" customFormat="false" ht="15" hidden="false" customHeight="false" outlineLevel="0" collapsed="false">
      <c r="A31" s="2" t="s">
        <v>158</v>
      </c>
      <c r="B31" s="2" t="s">
        <v>259</v>
      </c>
      <c r="C31" s="2" t="s">
        <v>159</v>
      </c>
      <c r="D31" s="2"/>
      <c r="E31" s="2"/>
      <c r="F31" s="2"/>
      <c r="G31" s="10" t="s">
        <v>257</v>
      </c>
      <c r="H31" s="2"/>
      <c r="I31" s="2"/>
      <c r="J31" s="2"/>
      <c r="K31" s="10" t="s">
        <v>257</v>
      </c>
      <c r="L31" s="2"/>
      <c r="M31" s="2"/>
      <c r="N31" s="2" t="n">
        <v>2</v>
      </c>
    </row>
    <row r="32" customFormat="false" ht="15" hidden="false" customHeight="false" outlineLevel="0" collapsed="false">
      <c r="A32" s="2" t="s">
        <v>163</v>
      </c>
      <c r="B32" s="2" t="s">
        <v>260</v>
      </c>
      <c r="C32" s="2" t="s">
        <v>165</v>
      </c>
      <c r="D32" s="10" t="s">
        <v>257</v>
      </c>
      <c r="E32" s="10" t="s">
        <v>257</v>
      </c>
      <c r="F32" s="10" t="s">
        <v>257</v>
      </c>
      <c r="G32" s="10" t="s">
        <v>257</v>
      </c>
      <c r="H32" s="10" t="s">
        <v>257</v>
      </c>
      <c r="I32" s="10" t="s">
        <v>257</v>
      </c>
      <c r="J32" s="2"/>
      <c r="K32" s="10" t="s">
        <v>257</v>
      </c>
      <c r="L32" s="2"/>
      <c r="M32" s="2"/>
      <c r="N32" s="2" t="n">
        <v>7</v>
      </c>
    </row>
    <row r="33" customFormat="false" ht="15" hidden="false" customHeight="false" outlineLevel="0" collapsed="false">
      <c r="A33" s="2" t="s">
        <v>169</v>
      </c>
      <c r="B33" s="2" t="s">
        <v>260</v>
      </c>
      <c r="C33" s="2" t="s">
        <v>170</v>
      </c>
      <c r="D33" s="2"/>
      <c r="E33" s="2"/>
      <c r="F33" s="2"/>
      <c r="G33" s="2"/>
      <c r="H33" s="2"/>
      <c r="I33" s="2"/>
      <c r="J33" s="10" t="s">
        <v>257</v>
      </c>
      <c r="K33" s="10" t="s">
        <v>257</v>
      </c>
      <c r="L33" s="10" t="s">
        <v>257</v>
      </c>
      <c r="M33" s="2"/>
      <c r="N33" s="2" t="n">
        <v>3</v>
      </c>
    </row>
    <row r="34" customFormat="false" ht="15" hidden="false" customHeight="false" outlineLevel="0" collapsed="false">
      <c r="A34" s="2" t="s">
        <v>173</v>
      </c>
      <c r="B34" s="2" t="s">
        <v>260</v>
      </c>
      <c r="C34" s="2" t="s">
        <v>174</v>
      </c>
      <c r="D34" s="2"/>
      <c r="E34" s="10" t="s">
        <v>257</v>
      </c>
      <c r="F34" s="2"/>
      <c r="G34" s="10" t="s">
        <v>257</v>
      </c>
      <c r="H34" s="2"/>
      <c r="I34" s="10" t="s">
        <v>257</v>
      </c>
      <c r="J34" s="2"/>
      <c r="K34" s="2"/>
      <c r="L34" s="2"/>
      <c r="M34" s="2"/>
      <c r="N34" s="2" t="n">
        <v>3</v>
      </c>
    </row>
    <row r="35" customFormat="false" ht="15" hidden="false" customHeight="false" outlineLevel="0" collapsed="false">
      <c r="A35" s="2" t="s">
        <v>178</v>
      </c>
      <c r="B35" s="2" t="s">
        <v>260</v>
      </c>
      <c r="C35" s="2" t="s">
        <v>179</v>
      </c>
      <c r="D35" s="10" t="s">
        <v>257</v>
      </c>
      <c r="E35" s="10" t="s">
        <v>257</v>
      </c>
      <c r="F35" s="10" t="s">
        <v>257</v>
      </c>
      <c r="G35" s="10" t="s">
        <v>257</v>
      </c>
      <c r="H35" s="10" t="s">
        <v>257</v>
      </c>
      <c r="I35" s="10" t="s">
        <v>257</v>
      </c>
      <c r="J35" s="10" t="s">
        <v>257</v>
      </c>
      <c r="K35" s="10" t="s">
        <v>257</v>
      </c>
      <c r="L35" s="10" t="s">
        <v>257</v>
      </c>
      <c r="M35" s="10" t="s">
        <v>257</v>
      </c>
      <c r="N35" s="2" t="n">
        <v>10</v>
      </c>
    </row>
    <row r="36" customFormat="false" ht="15" hidden="false" customHeight="false" outlineLevel="0" collapsed="false">
      <c r="A36" s="2" t="s">
        <v>182</v>
      </c>
      <c r="B36" s="2" t="s">
        <v>260</v>
      </c>
      <c r="C36" s="2" t="s">
        <v>183</v>
      </c>
      <c r="D36" s="10" t="s">
        <v>257</v>
      </c>
      <c r="E36" s="2"/>
      <c r="F36" s="2"/>
      <c r="G36" s="2"/>
      <c r="H36" s="10" t="s">
        <v>257</v>
      </c>
      <c r="I36" s="2"/>
      <c r="J36" s="10" t="s">
        <v>257</v>
      </c>
      <c r="K36" s="2"/>
      <c r="L36" s="10" t="s">
        <v>257</v>
      </c>
      <c r="M36" s="2"/>
      <c r="N36" s="2" t="n">
        <v>4</v>
      </c>
    </row>
    <row r="37" customFormat="false" ht="15" hidden="false" customHeight="false" outlineLevel="0" collapsed="false">
      <c r="A37" s="2" t="s">
        <v>187</v>
      </c>
      <c r="B37" s="2" t="s">
        <v>260</v>
      </c>
      <c r="C37" s="2" t="s">
        <v>188</v>
      </c>
      <c r="D37" s="2"/>
      <c r="E37" s="10" t="s">
        <v>257</v>
      </c>
      <c r="F37" s="10" t="s">
        <v>257</v>
      </c>
      <c r="G37" s="2"/>
      <c r="H37" s="2"/>
      <c r="I37" s="2"/>
      <c r="J37" s="2"/>
      <c r="K37" s="10" t="s">
        <v>257</v>
      </c>
      <c r="L37" s="2"/>
      <c r="M37" s="2"/>
      <c r="N37" s="2" t="n">
        <v>3</v>
      </c>
    </row>
    <row r="38" customFormat="false" ht="15" hidden="false" customHeight="false" outlineLevel="0" collapsed="false">
      <c r="A38" s="2" t="s">
        <v>192</v>
      </c>
      <c r="B38" s="2" t="s">
        <v>260</v>
      </c>
      <c r="C38" s="2" t="s">
        <v>193</v>
      </c>
      <c r="D38" s="2"/>
      <c r="E38" s="10" t="s">
        <v>257</v>
      </c>
      <c r="F38" s="2"/>
      <c r="G38" s="2"/>
      <c r="H38" s="10" t="s">
        <v>257</v>
      </c>
      <c r="I38" s="10" t="s">
        <v>257</v>
      </c>
      <c r="J38" s="10" t="s">
        <v>257</v>
      </c>
      <c r="K38" s="2"/>
      <c r="L38" s="10" t="s">
        <v>257</v>
      </c>
      <c r="M38" s="2"/>
      <c r="N38" s="2" t="n">
        <v>5</v>
      </c>
    </row>
    <row r="39" customFormat="false" ht="15" hidden="false" customHeight="false" outlineLevel="0" collapsed="false">
      <c r="A39" s="2" t="s">
        <v>197</v>
      </c>
      <c r="B39" s="2" t="s">
        <v>261</v>
      </c>
      <c r="C39" s="2" t="s">
        <v>199</v>
      </c>
      <c r="D39" s="2"/>
      <c r="E39" s="2"/>
      <c r="F39" s="2"/>
      <c r="G39" s="2"/>
      <c r="H39" s="2"/>
      <c r="I39" s="2"/>
      <c r="J39" s="10" t="s">
        <v>257</v>
      </c>
      <c r="K39" s="10" t="s">
        <v>257</v>
      </c>
      <c r="L39" s="2"/>
      <c r="M39" s="2"/>
      <c r="N39" s="2" t="n">
        <v>2</v>
      </c>
    </row>
    <row r="40" customFormat="false" ht="15" hidden="false" customHeight="false" outlineLevel="0" collapsed="false">
      <c r="A40" s="2" t="s">
        <v>203</v>
      </c>
      <c r="B40" s="2" t="s">
        <v>261</v>
      </c>
      <c r="C40" s="2" t="s">
        <v>204</v>
      </c>
      <c r="D40" s="10" t="s">
        <v>257</v>
      </c>
      <c r="E40" s="10" t="s">
        <v>257</v>
      </c>
      <c r="F40" s="10" t="s">
        <v>257</v>
      </c>
      <c r="G40" s="10" t="s">
        <v>257</v>
      </c>
      <c r="H40" s="10" t="s">
        <v>257</v>
      </c>
      <c r="I40" s="10" t="s">
        <v>257</v>
      </c>
      <c r="J40" s="10" t="s">
        <v>257</v>
      </c>
      <c r="K40" s="10" t="s">
        <v>257</v>
      </c>
      <c r="L40" s="10" t="s">
        <v>257</v>
      </c>
      <c r="M40" s="10" t="s">
        <v>257</v>
      </c>
      <c r="N40" s="2" t="n">
        <v>10</v>
      </c>
    </row>
    <row r="41" customFormat="false" ht="15" hidden="false" customHeight="false" outlineLevel="0" collapsed="false">
      <c r="A41" s="2" t="s">
        <v>207</v>
      </c>
      <c r="B41" s="2" t="s">
        <v>261</v>
      </c>
      <c r="C41" s="2" t="s">
        <v>208</v>
      </c>
      <c r="D41" s="2"/>
      <c r="E41" s="2"/>
      <c r="F41" s="10" t="s">
        <v>257</v>
      </c>
      <c r="G41" s="2"/>
      <c r="H41" s="2"/>
      <c r="I41" s="2"/>
      <c r="J41" s="2"/>
      <c r="K41" s="10" t="s">
        <v>257</v>
      </c>
      <c r="L41" s="2"/>
      <c r="M41" s="10" t="s">
        <v>257</v>
      </c>
      <c r="N41" s="2" t="n">
        <v>3</v>
      </c>
    </row>
    <row r="42" customFormat="false" ht="15" hidden="false" customHeight="false" outlineLevel="0" collapsed="false">
      <c r="A42" s="2" t="s">
        <v>211</v>
      </c>
      <c r="B42" s="2" t="s">
        <v>261</v>
      </c>
      <c r="C42" s="2" t="s">
        <v>212</v>
      </c>
      <c r="D42" s="10" t="s">
        <v>257</v>
      </c>
      <c r="E42" s="10" t="s">
        <v>257</v>
      </c>
      <c r="F42" s="10" t="s">
        <v>257</v>
      </c>
      <c r="G42" s="10" t="s">
        <v>257</v>
      </c>
      <c r="H42" s="10" t="s">
        <v>257</v>
      </c>
      <c r="I42" s="10" t="s">
        <v>257</v>
      </c>
      <c r="J42" s="2"/>
      <c r="K42" s="10" t="s">
        <v>257</v>
      </c>
      <c r="L42" s="2"/>
      <c r="M42" s="2"/>
      <c r="N42" s="2" t="n">
        <v>7</v>
      </c>
    </row>
    <row r="43" customFormat="false" ht="15" hidden="false" customHeight="false" outlineLevel="0" collapsed="false">
      <c r="A43" s="2" t="s">
        <v>215</v>
      </c>
      <c r="B43" s="2" t="s">
        <v>261</v>
      </c>
      <c r="C43" s="2" t="s">
        <v>216</v>
      </c>
      <c r="D43" s="2"/>
      <c r="E43" s="2"/>
      <c r="F43" s="2"/>
      <c r="G43" s="2"/>
      <c r="H43" s="2"/>
      <c r="I43" s="2"/>
      <c r="J43" s="10" t="s">
        <v>257</v>
      </c>
      <c r="K43" s="10" t="s">
        <v>257</v>
      </c>
      <c r="L43" s="2"/>
      <c r="M43" s="2"/>
      <c r="N43" s="2" t="n">
        <v>2</v>
      </c>
    </row>
    <row r="44" customFormat="false" ht="15" hidden="false" customHeight="false" outlineLevel="0" collapsed="false">
      <c r="A44" s="2" t="s">
        <v>219</v>
      </c>
      <c r="B44" s="2" t="s">
        <v>261</v>
      </c>
      <c r="C44" s="2" t="s">
        <v>220</v>
      </c>
      <c r="D44" s="10" t="s">
        <v>257</v>
      </c>
      <c r="E44" s="10" t="s">
        <v>257</v>
      </c>
      <c r="F44" s="10" t="s">
        <v>257</v>
      </c>
      <c r="G44" s="10" t="s">
        <v>257</v>
      </c>
      <c r="H44" s="10" t="s">
        <v>257</v>
      </c>
      <c r="I44" s="10" t="s">
        <v>257</v>
      </c>
      <c r="J44" s="10" t="s">
        <v>257</v>
      </c>
      <c r="K44" s="10" t="s">
        <v>257</v>
      </c>
      <c r="L44" s="10" t="s">
        <v>257</v>
      </c>
      <c r="M44" s="10" t="s">
        <v>257</v>
      </c>
      <c r="N44" s="2" t="n">
        <v>10</v>
      </c>
    </row>
    <row r="45" customFormat="false" ht="15" hidden="false" customHeight="false" outlineLevel="0" collapsed="false">
      <c r="A45" s="2" t="s">
        <v>243</v>
      </c>
      <c r="B45" s="2"/>
      <c r="C45" s="2" t="s">
        <v>262</v>
      </c>
      <c r="D45" s="2" t="n">
        <f aca="false">COUNTIF(D2:D44,"X")</f>
        <v>24</v>
      </c>
      <c r="E45" s="2" t="n">
        <f aca="false">COUNTIF(E2:E44,"X")</f>
        <v>22</v>
      </c>
      <c r="F45" s="2" t="n">
        <f aca="false">COUNTIF(F2:F44,"X")</f>
        <v>26</v>
      </c>
      <c r="G45" s="2" t="n">
        <f aca="false">COUNTIF(G2:G44,"X")</f>
        <v>20</v>
      </c>
      <c r="H45" s="2" t="n">
        <f aca="false">COUNTIF(H2:H44,"X")</f>
        <v>25</v>
      </c>
      <c r="I45" s="2" t="n">
        <f aca="false">COUNTIF(I2:I44,"X")</f>
        <v>21</v>
      </c>
      <c r="J45" s="2" t="n">
        <f aca="false">COUNTIF(J2:J44,"X")</f>
        <v>26</v>
      </c>
      <c r="K45" s="2" t="n">
        <f aca="false">COUNTIF(K2:K44,"X")</f>
        <v>31</v>
      </c>
      <c r="L45" s="2" t="n">
        <f aca="false">COUNTIF(L2:L44,"X")</f>
        <v>28</v>
      </c>
      <c r="M45" s="2" t="n">
        <f aca="false">COUNTIF(M2:M44,"X")</f>
        <v>20</v>
      </c>
      <c r="N45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G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5"/>
    <col collapsed="false" customWidth="true" hidden="false" outlineLevel="0" max="3" min="3" style="0" width="12"/>
    <col collapsed="false" customWidth="true" hidden="false" outlineLevel="0" max="4" min="4" style="0" width="70"/>
    <col collapsed="false" customWidth="true" hidden="false" outlineLevel="0" max="5" min="5" style="0" width="10"/>
    <col collapsed="false" customWidth="true" hidden="false" outlineLevel="0" max="6" min="6" style="0" width="65"/>
    <col collapsed="false" customWidth="true" hidden="false" outlineLevel="0" max="7" min="7" style="0" width="55"/>
  </cols>
  <sheetData>
    <row r="1" customFormat="false" ht="26.85" hidden="false" customHeight="false" outlineLevel="0" collapsed="false">
      <c r="A1" s="1" t="s">
        <v>0</v>
      </c>
      <c r="B1" s="1" t="s">
        <v>4</v>
      </c>
      <c r="C1" s="1" t="s">
        <v>7</v>
      </c>
      <c r="D1" s="1" t="s">
        <v>263</v>
      </c>
      <c r="E1" s="1" t="s">
        <v>6</v>
      </c>
      <c r="F1" s="1" t="s">
        <v>264</v>
      </c>
      <c r="G1" s="1" t="s">
        <v>265</v>
      </c>
    </row>
    <row r="2" customFormat="false" ht="23.85" hidden="false" customHeight="false" outlineLevel="0" collapsed="false">
      <c r="A2" s="2" t="s">
        <v>12</v>
      </c>
      <c r="B2" s="2" t="s">
        <v>16</v>
      </c>
      <c r="C2" s="4" t="s">
        <v>19</v>
      </c>
      <c r="D2" s="2" t="s">
        <v>20</v>
      </c>
      <c r="E2" s="2" t="s">
        <v>18</v>
      </c>
      <c r="F2" s="2" t="s">
        <v>266</v>
      </c>
      <c r="G2" s="2" t="s">
        <v>267</v>
      </c>
    </row>
    <row r="3" customFormat="false" ht="23.85" hidden="false" customHeight="false" outlineLevel="0" collapsed="false">
      <c r="A3" s="2" t="s">
        <v>22</v>
      </c>
      <c r="B3" s="2" t="s">
        <v>23</v>
      </c>
      <c r="C3" s="4" t="s">
        <v>19</v>
      </c>
      <c r="D3" s="2" t="s">
        <v>25</v>
      </c>
      <c r="E3" s="2" t="s">
        <v>18</v>
      </c>
      <c r="F3" s="2" t="s">
        <v>266</v>
      </c>
      <c r="G3" s="2" t="s">
        <v>267</v>
      </c>
    </row>
    <row r="4" customFormat="false" ht="23.85" hidden="false" customHeight="false" outlineLevel="0" collapsed="false">
      <c r="A4" s="2" t="s">
        <v>27</v>
      </c>
      <c r="B4" s="2" t="s">
        <v>30</v>
      </c>
      <c r="C4" s="4" t="s">
        <v>19</v>
      </c>
      <c r="D4" s="2" t="s">
        <v>32</v>
      </c>
      <c r="E4" s="2" t="s">
        <v>18</v>
      </c>
      <c r="F4" s="2" t="s">
        <v>266</v>
      </c>
      <c r="G4" s="2" t="s">
        <v>267</v>
      </c>
    </row>
    <row r="5" customFormat="false" ht="15" hidden="false" customHeight="false" outlineLevel="0" collapsed="false">
      <c r="A5" s="2" t="s">
        <v>34</v>
      </c>
      <c r="B5" s="2" t="s">
        <v>35</v>
      </c>
      <c r="C5" s="4" t="s">
        <v>19</v>
      </c>
      <c r="D5" s="2" t="s">
        <v>38</v>
      </c>
      <c r="E5" s="2" t="s">
        <v>37</v>
      </c>
      <c r="F5" s="2" t="s">
        <v>266</v>
      </c>
      <c r="G5" s="2" t="s">
        <v>267</v>
      </c>
    </row>
    <row r="6" customFormat="false" ht="23.85" hidden="false" customHeight="false" outlineLevel="0" collapsed="false">
      <c r="A6" s="2" t="s">
        <v>40</v>
      </c>
      <c r="B6" s="2" t="s">
        <v>41</v>
      </c>
      <c r="C6" s="4" t="s">
        <v>19</v>
      </c>
      <c r="D6" s="2" t="s">
        <v>43</v>
      </c>
      <c r="E6" s="2" t="s">
        <v>18</v>
      </c>
      <c r="F6" s="2" t="s">
        <v>266</v>
      </c>
      <c r="G6" s="2" t="s">
        <v>267</v>
      </c>
    </row>
    <row r="7" customFormat="false" ht="15" hidden="false" customHeight="false" outlineLevel="0" collapsed="false">
      <c r="A7" s="2" t="s">
        <v>45</v>
      </c>
      <c r="B7" s="2" t="s">
        <v>46</v>
      </c>
      <c r="C7" s="4" t="s">
        <v>19</v>
      </c>
      <c r="D7" s="2" t="s">
        <v>49</v>
      </c>
      <c r="E7" s="2" t="s">
        <v>48</v>
      </c>
      <c r="F7" s="2" t="s">
        <v>266</v>
      </c>
      <c r="G7" s="2" t="s">
        <v>267</v>
      </c>
    </row>
    <row r="8" customFormat="false" ht="23.85" hidden="false" customHeight="false" outlineLevel="0" collapsed="false">
      <c r="A8" s="2" t="s">
        <v>51</v>
      </c>
      <c r="B8" s="2" t="s">
        <v>52</v>
      </c>
      <c r="C8" s="4" t="s">
        <v>19</v>
      </c>
      <c r="D8" s="2" t="s">
        <v>54</v>
      </c>
      <c r="E8" s="2" t="s">
        <v>48</v>
      </c>
      <c r="F8" s="2" t="s">
        <v>266</v>
      </c>
      <c r="G8" s="2" t="s">
        <v>267</v>
      </c>
    </row>
    <row r="9" customFormat="false" ht="23.85" hidden="false" customHeight="false" outlineLevel="0" collapsed="false">
      <c r="A9" s="2" t="s">
        <v>56</v>
      </c>
      <c r="B9" s="2" t="s">
        <v>57</v>
      </c>
      <c r="C9" s="4" t="s">
        <v>19</v>
      </c>
      <c r="D9" s="2" t="s">
        <v>59</v>
      </c>
      <c r="E9" s="2" t="s">
        <v>48</v>
      </c>
      <c r="F9" s="2" t="s">
        <v>266</v>
      </c>
      <c r="G9" s="2" t="s">
        <v>267</v>
      </c>
    </row>
    <row r="10" customFormat="false" ht="15" hidden="false" customHeight="false" outlineLevel="0" collapsed="false">
      <c r="A10" s="2" t="s">
        <v>61</v>
      </c>
      <c r="B10" s="2" t="s">
        <v>62</v>
      </c>
      <c r="C10" s="4" t="s">
        <v>19</v>
      </c>
      <c r="D10" s="2" t="s">
        <v>64</v>
      </c>
      <c r="E10" s="2" t="s">
        <v>48</v>
      </c>
      <c r="F10" s="2" t="s">
        <v>266</v>
      </c>
      <c r="G10" s="2" t="s">
        <v>267</v>
      </c>
    </row>
    <row r="11" customFormat="false" ht="23.85" hidden="false" customHeight="false" outlineLevel="0" collapsed="false">
      <c r="A11" s="2" t="s">
        <v>65</v>
      </c>
      <c r="B11" s="2" t="s">
        <v>66</v>
      </c>
      <c r="C11" s="4" t="s">
        <v>19</v>
      </c>
      <c r="D11" s="2" t="s">
        <v>68</v>
      </c>
      <c r="E11" s="2" t="s">
        <v>18</v>
      </c>
      <c r="F11" s="2" t="s">
        <v>266</v>
      </c>
      <c r="G11" s="2" t="s">
        <v>267</v>
      </c>
    </row>
    <row r="12" customFormat="false" ht="23.85" hidden="false" customHeight="false" outlineLevel="0" collapsed="false">
      <c r="A12" s="2" t="s">
        <v>69</v>
      </c>
      <c r="B12" s="2" t="s">
        <v>71</v>
      </c>
      <c r="C12" s="4" t="s">
        <v>19</v>
      </c>
      <c r="D12" s="2" t="s">
        <v>73</v>
      </c>
      <c r="E12" s="2" t="s">
        <v>37</v>
      </c>
      <c r="F12" s="2" t="s">
        <v>266</v>
      </c>
      <c r="G12" s="2" t="s">
        <v>267</v>
      </c>
    </row>
    <row r="13" customFormat="false" ht="23.85" hidden="false" customHeight="false" outlineLevel="0" collapsed="false">
      <c r="A13" s="2" t="s">
        <v>74</v>
      </c>
      <c r="B13" s="2" t="s">
        <v>75</v>
      </c>
      <c r="C13" s="4" t="s">
        <v>19</v>
      </c>
      <c r="D13" s="2" t="s">
        <v>77</v>
      </c>
      <c r="E13" s="2" t="s">
        <v>37</v>
      </c>
      <c r="F13" s="2" t="s">
        <v>266</v>
      </c>
      <c r="G13" s="2" t="s">
        <v>267</v>
      </c>
    </row>
    <row r="14" customFormat="false" ht="23.85" hidden="false" customHeight="false" outlineLevel="0" collapsed="false">
      <c r="A14" s="2" t="s">
        <v>79</v>
      </c>
      <c r="B14" s="2" t="s">
        <v>81</v>
      </c>
      <c r="C14" s="4" t="s">
        <v>19</v>
      </c>
      <c r="D14" s="2" t="s">
        <v>83</v>
      </c>
      <c r="E14" s="2" t="s">
        <v>48</v>
      </c>
      <c r="F14" s="2" t="s">
        <v>266</v>
      </c>
      <c r="G14" s="2" t="s">
        <v>267</v>
      </c>
    </row>
    <row r="15" customFormat="false" ht="23.85" hidden="false" customHeight="false" outlineLevel="0" collapsed="false">
      <c r="A15" s="2" t="s">
        <v>84</v>
      </c>
      <c r="B15" s="2" t="s">
        <v>85</v>
      </c>
      <c r="C15" s="4" t="s">
        <v>19</v>
      </c>
      <c r="D15" s="2" t="s">
        <v>87</v>
      </c>
      <c r="E15" s="2" t="s">
        <v>18</v>
      </c>
      <c r="F15" s="2" t="s">
        <v>266</v>
      </c>
      <c r="G15" s="2" t="s">
        <v>267</v>
      </c>
    </row>
    <row r="16" customFormat="false" ht="23.85" hidden="false" customHeight="false" outlineLevel="0" collapsed="false">
      <c r="A16" s="2" t="s">
        <v>89</v>
      </c>
      <c r="B16" s="2" t="s">
        <v>90</v>
      </c>
      <c r="C16" s="4" t="s">
        <v>19</v>
      </c>
      <c r="D16" s="2" t="s">
        <v>92</v>
      </c>
      <c r="E16" s="2" t="s">
        <v>18</v>
      </c>
      <c r="F16" s="2" t="s">
        <v>266</v>
      </c>
      <c r="G16" s="2" t="s">
        <v>267</v>
      </c>
    </row>
    <row r="17" customFormat="false" ht="23.85" hidden="false" customHeight="false" outlineLevel="0" collapsed="false">
      <c r="A17" s="2" t="s">
        <v>94</v>
      </c>
      <c r="B17" s="2" t="s">
        <v>95</v>
      </c>
      <c r="C17" s="4" t="s">
        <v>19</v>
      </c>
      <c r="D17" s="2" t="s">
        <v>97</v>
      </c>
      <c r="E17" s="2" t="s">
        <v>48</v>
      </c>
      <c r="F17" s="2" t="s">
        <v>266</v>
      </c>
      <c r="G17" s="2" t="s">
        <v>267</v>
      </c>
    </row>
    <row r="18" customFormat="false" ht="23.85" hidden="false" customHeight="false" outlineLevel="0" collapsed="false">
      <c r="A18" s="2" t="s">
        <v>99</v>
      </c>
      <c r="B18" s="2" t="s">
        <v>100</v>
      </c>
      <c r="C18" s="7" t="s">
        <v>102</v>
      </c>
      <c r="D18" s="2" t="s">
        <v>103</v>
      </c>
      <c r="E18" s="2" t="s">
        <v>37</v>
      </c>
      <c r="F18" s="2" t="s">
        <v>268</v>
      </c>
      <c r="G18" s="2" t="s">
        <v>267</v>
      </c>
    </row>
    <row r="19" customFormat="false" ht="23.85" hidden="false" customHeight="false" outlineLevel="0" collapsed="false">
      <c r="A19" s="2" t="s">
        <v>105</v>
      </c>
      <c r="B19" s="2" t="s">
        <v>107</v>
      </c>
      <c r="C19" s="4" t="s">
        <v>19</v>
      </c>
      <c r="D19" s="2" t="s">
        <v>109</v>
      </c>
      <c r="E19" s="2" t="s">
        <v>37</v>
      </c>
      <c r="F19" s="2" t="s">
        <v>266</v>
      </c>
      <c r="G19" s="2" t="s">
        <v>267</v>
      </c>
    </row>
    <row r="20" customFormat="false" ht="23.85" hidden="false" customHeight="false" outlineLevel="0" collapsed="false">
      <c r="A20" s="2" t="s">
        <v>110</v>
      </c>
      <c r="B20" s="2" t="s">
        <v>111</v>
      </c>
      <c r="C20" s="4" t="s">
        <v>19</v>
      </c>
      <c r="D20" s="2" t="s">
        <v>113</v>
      </c>
      <c r="E20" s="2" t="s">
        <v>18</v>
      </c>
      <c r="F20" s="2" t="s">
        <v>266</v>
      </c>
      <c r="G20" s="2" t="s">
        <v>267</v>
      </c>
    </row>
    <row r="21" customFormat="false" ht="23.85" hidden="false" customHeight="false" outlineLevel="0" collapsed="false">
      <c r="A21" s="2" t="s">
        <v>114</v>
      </c>
      <c r="B21" s="2" t="s">
        <v>115</v>
      </c>
      <c r="C21" s="4" t="s">
        <v>19</v>
      </c>
      <c r="D21" s="2" t="s">
        <v>117</v>
      </c>
      <c r="E21" s="2" t="s">
        <v>48</v>
      </c>
      <c r="F21" s="2" t="s">
        <v>266</v>
      </c>
      <c r="G21" s="2" t="s">
        <v>267</v>
      </c>
    </row>
    <row r="22" customFormat="false" ht="15" hidden="false" customHeight="false" outlineLevel="0" collapsed="false">
      <c r="A22" s="2" t="s">
        <v>118</v>
      </c>
      <c r="B22" s="2" t="s">
        <v>119</v>
      </c>
      <c r="C22" s="4" t="s">
        <v>19</v>
      </c>
      <c r="D22" s="2" t="s">
        <v>121</v>
      </c>
      <c r="E22" s="2" t="s">
        <v>48</v>
      </c>
      <c r="F22" s="2" t="s">
        <v>266</v>
      </c>
      <c r="G22" s="2" t="s">
        <v>267</v>
      </c>
    </row>
    <row r="23" customFormat="false" ht="23.85" hidden="false" customHeight="false" outlineLevel="0" collapsed="false">
      <c r="A23" s="2" t="s">
        <v>122</v>
      </c>
      <c r="B23" s="2" t="s">
        <v>123</v>
      </c>
      <c r="C23" s="7" t="s">
        <v>102</v>
      </c>
      <c r="D23" s="2" t="s">
        <v>125</v>
      </c>
      <c r="E23" s="2" t="s">
        <v>18</v>
      </c>
      <c r="F23" s="2" t="s">
        <v>269</v>
      </c>
      <c r="G23" s="2" t="s">
        <v>267</v>
      </c>
    </row>
    <row r="24" customFormat="false" ht="23.85" hidden="false" customHeight="false" outlineLevel="0" collapsed="false">
      <c r="A24" s="2" t="s">
        <v>126</v>
      </c>
      <c r="B24" s="2" t="s">
        <v>127</v>
      </c>
      <c r="C24" s="4" t="s">
        <v>19</v>
      </c>
      <c r="D24" s="2" t="s">
        <v>129</v>
      </c>
      <c r="E24" s="2" t="s">
        <v>48</v>
      </c>
      <c r="F24" s="2" t="s">
        <v>266</v>
      </c>
      <c r="G24" s="2" t="s">
        <v>267</v>
      </c>
    </row>
    <row r="25" customFormat="false" ht="23.85" hidden="false" customHeight="false" outlineLevel="0" collapsed="false">
      <c r="A25" s="2" t="s">
        <v>131</v>
      </c>
      <c r="B25" s="2" t="s">
        <v>132</v>
      </c>
      <c r="C25" s="4" t="s">
        <v>19</v>
      </c>
      <c r="D25" s="2" t="s">
        <v>134</v>
      </c>
      <c r="E25" s="2" t="s">
        <v>48</v>
      </c>
      <c r="F25" s="2" t="s">
        <v>266</v>
      </c>
      <c r="G25" s="2" t="s">
        <v>267</v>
      </c>
    </row>
    <row r="26" customFormat="false" ht="23.85" hidden="false" customHeight="false" outlineLevel="0" collapsed="false">
      <c r="A26" s="2" t="s">
        <v>135</v>
      </c>
      <c r="B26" s="2" t="s">
        <v>136</v>
      </c>
      <c r="C26" s="4" t="s">
        <v>19</v>
      </c>
      <c r="D26" s="2" t="s">
        <v>138</v>
      </c>
      <c r="E26" s="2" t="s">
        <v>48</v>
      </c>
      <c r="F26" s="2" t="s">
        <v>266</v>
      </c>
      <c r="G26" s="2" t="s">
        <v>267</v>
      </c>
    </row>
    <row r="27" customFormat="false" ht="23.85" hidden="false" customHeight="false" outlineLevel="0" collapsed="false">
      <c r="A27" s="2" t="s">
        <v>139</v>
      </c>
      <c r="B27" s="2" t="s">
        <v>140</v>
      </c>
      <c r="C27" s="4" t="s">
        <v>19</v>
      </c>
      <c r="D27" s="2" t="s">
        <v>142</v>
      </c>
      <c r="E27" s="2" t="s">
        <v>48</v>
      </c>
      <c r="F27" s="2" t="s">
        <v>266</v>
      </c>
      <c r="G27" s="2" t="s">
        <v>267</v>
      </c>
    </row>
    <row r="28" customFormat="false" ht="23.85" hidden="false" customHeight="false" outlineLevel="0" collapsed="false">
      <c r="A28" s="2" t="s">
        <v>143</v>
      </c>
      <c r="B28" s="2" t="s">
        <v>144</v>
      </c>
      <c r="C28" s="7" t="s">
        <v>102</v>
      </c>
      <c r="D28" s="2" t="s">
        <v>147</v>
      </c>
      <c r="E28" s="2" t="s">
        <v>146</v>
      </c>
      <c r="F28" s="2" t="s">
        <v>270</v>
      </c>
      <c r="G28" s="2" t="s">
        <v>267</v>
      </c>
    </row>
    <row r="29" customFormat="false" ht="23.85" hidden="false" customHeight="false" outlineLevel="0" collapsed="false">
      <c r="A29" s="2" t="s">
        <v>148</v>
      </c>
      <c r="B29" s="2" t="s">
        <v>149</v>
      </c>
      <c r="C29" s="4" t="s">
        <v>19</v>
      </c>
      <c r="D29" s="2" t="s">
        <v>151</v>
      </c>
      <c r="E29" s="2" t="s">
        <v>37</v>
      </c>
      <c r="F29" s="2" t="s">
        <v>266</v>
      </c>
      <c r="G29" s="2" t="s">
        <v>267</v>
      </c>
    </row>
    <row r="30" customFormat="false" ht="23.85" hidden="false" customHeight="false" outlineLevel="0" collapsed="false">
      <c r="A30" s="2" t="s">
        <v>153</v>
      </c>
      <c r="B30" s="2" t="s">
        <v>154</v>
      </c>
      <c r="C30" s="4" t="s">
        <v>19</v>
      </c>
      <c r="D30" s="2" t="s">
        <v>156</v>
      </c>
      <c r="E30" s="2" t="s">
        <v>37</v>
      </c>
      <c r="F30" s="2" t="s">
        <v>266</v>
      </c>
      <c r="G30" s="2" t="s">
        <v>267</v>
      </c>
    </row>
    <row r="31" customFormat="false" ht="23.85" hidden="false" customHeight="false" outlineLevel="0" collapsed="false">
      <c r="A31" s="2" t="s">
        <v>158</v>
      </c>
      <c r="B31" s="2" t="s">
        <v>159</v>
      </c>
      <c r="C31" s="4" t="s">
        <v>19</v>
      </c>
      <c r="D31" s="2" t="s">
        <v>161</v>
      </c>
      <c r="E31" s="2" t="s">
        <v>18</v>
      </c>
      <c r="F31" s="2" t="s">
        <v>266</v>
      </c>
      <c r="G31" s="2" t="s">
        <v>267</v>
      </c>
    </row>
    <row r="32" customFormat="false" ht="23.85" hidden="false" customHeight="false" outlineLevel="0" collapsed="false">
      <c r="A32" s="2" t="s">
        <v>163</v>
      </c>
      <c r="B32" s="2" t="s">
        <v>165</v>
      </c>
      <c r="C32" s="4" t="s">
        <v>19</v>
      </c>
      <c r="D32" s="2" t="s">
        <v>167</v>
      </c>
      <c r="E32" s="2" t="s">
        <v>37</v>
      </c>
      <c r="F32" s="2" t="s">
        <v>266</v>
      </c>
      <c r="G32" s="2" t="s">
        <v>267</v>
      </c>
    </row>
    <row r="33" customFormat="false" ht="23.85" hidden="false" customHeight="false" outlineLevel="0" collapsed="false">
      <c r="A33" s="2" t="s">
        <v>169</v>
      </c>
      <c r="B33" s="2" t="s">
        <v>170</v>
      </c>
      <c r="C33" s="7" t="s">
        <v>102</v>
      </c>
      <c r="D33" s="2" t="s">
        <v>172</v>
      </c>
      <c r="E33" s="2" t="s">
        <v>18</v>
      </c>
      <c r="F33" s="2" t="s">
        <v>271</v>
      </c>
      <c r="G33" s="2" t="s">
        <v>267</v>
      </c>
    </row>
    <row r="34" customFormat="false" ht="23.85" hidden="false" customHeight="false" outlineLevel="0" collapsed="false">
      <c r="A34" s="2" t="s">
        <v>173</v>
      </c>
      <c r="B34" s="2" t="s">
        <v>174</v>
      </c>
      <c r="C34" s="7" t="s">
        <v>102</v>
      </c>
      <c r="D34" s="2" t="s">
        <v>176</v>
      </c>
      <c r="E34" s="2" t="s">
        <v>18</v>
      </c>
      <c r="F34" s="2" t="s">
        <v>272</v>
      </c>
      <c r="G34" s="2" t="s">
        <v>267</v>
      </c>
    </row>
    <row r="35" customFormat="false" ht="23.85" hidden="false" customHeight="false" outlineLevel="0" collapsed="false">
      <c r="A35" s="2" t="s">
        <v>178</v>
      </c>
      <c r="B35" s="2" t="s">
        <v>179</v>
      </c>
      <c r="C35" s="4" t="s">
        <v>19</v>
      </c>
      <c r="D35" s="2" t="s">
        <v>181</v>
      </c>
      <c r="E35" s="2" t="s">
        <v>18</v>
      </c>
      <c r="F35" s="2" t="s">
        <v>266</v>
      </c>
      <c r="G35" s="2" t="s">
        <v>267</v>
      </c>
    </row>
    <row r="36" customFormat="false" ht="35.05" hidden="false" customHeight="false" outlineLevel="0" collapsed="false">
      <c r="A36" s="2" t="s">
        <v>182</v>
      </c>
      <c r="B36" s="2" t="s">
        <v>183</v>
      </c>
      <c r="C36" s="8" t="s">
        <v>185</v>
      </c>
      <c r="D36" s="2" t="s">
        <v>186</v>
      </c>
      <c r="E36" s="2" t="s">
        <v>146</v>
      </c>
      <c r="F36" s="2" t="s">
        <v>273</v>
      </c>
      <c r="G36" s="2" t="s">
        <v>274</v>
      </c>
    </row>
    <row r="37" customFormat="false" ht="23.85" hidden="false" customHeight="false" outlineLevel="0" collapsed="false">
      <c r="A37" s="2" t="s">
        <v>187</v>
      </c>
      <c r="B37" s="2" t="s">
        <v>188</v>
      </c>
      <c r="C37" s="4" t="s">
        <v>19</v>
      </c>
      <c r="D37" s="2" t="s">
        <v>190</v>
      </c>
      <c r="E37" s="2" t="s">
        <v>18</v>
      </c>
      <c r="F37" s="2" t="s">
        <v>266</v>
      </c>
      <c r="G37" s="2" t="s">
        <v>267</v>
      </c>
    </row>
    <row r="38" customFormat="false" ht="23.85" hidden="false" customHeight="false" outlineLevel="0" collapsed="false">
      <c r="A38" s="2" t="s">
        <v>192</v>
      </c>
      <c r="B38" s="2" t="s">
        <v>193</v>
      </c>
      <c r="C38" s="7" t="s">
        <v>102</v>
      </c>
      <c r="D38" s="2" t="s">
        <v>195</v>
      </c>
      <c r="E38" s="2" t="s">
        <v>37</v>
      </c>
      <c r="F38" s="2" t="s">
        <v>272</v>
      </c>
      <c r="G38" s="2" t="s">
        <v>267</v>
      </c>
    </row>
    <row r="39" customFormat="false" ht="23.85" hidden="false" customHeight="false" outlineLevel="0" collapsed="false">
      <c r="A39" s="2" t="s">
        <v>197</v>
      </c>
      <c r="B39" s="2" t="s">
        <v>199</v>
      </c>
      <c r="C39" s="8" t="s">
        <v>185</v>
      </c>
      <c r="D39" s="2" t="s">
        <v>201</v>
      </c>
      <c r="E39" s="2" t="s">
        <v>146</v>
      </c>
      <c r="F39" s="2" t="s">
        <v>275</v>
      </c>
      <c r="G39" s="2" t="s">
        <v>274</v>
      </c>
    </row>
    <row r="40" customFormat="false" ht="23.85" hidden="false" customHeight="false" outlineLevel="0" collapsed="false">
      <c r="A40" s="2" t="s">
        <v>203</v>
      </c>
      <c r="B40" s="2" t="s">
        <v>204</v>
      </c>
      <c r="C40" s="4" t="s">
        <v>19</v>
      </c>
      <c r="D40" s="2" t="s">
        <v>206</v>
      </c>
      <c r="E40" s="2" t="s">
        <v>48</v>
      </c>
      <c r="F40" s="2" t="s">
        <v>266</v>
      </c>
      <c r="G40" s="2" t="s">
        <v>267</v>
      </c>
    </row>
    <row r="41" customFormat="false" ht="23.85" hidden="false" customHeight="false" outlineLevel="0" collapsed="false">
      <c r="A41" s="2" t="s">
        <v>207</v>
      </c>
      <c r="B41" s="2" t="s">
        <v>208</v>
      </c>
      <c r="C41" s="4" t="s">
        <v>19</v>
      </c>
      <c r="D41" s="2" t="s">
        <v>210</v>
      </c>
      <c r="E41" s="2" t="s">
        <v>18</v>
      </c>
      <c r="F41" s="2" t="s">
        <v>266</v>
      </c>
      <c r="G41" s="2" t="s">
        <v>267</v>
      </c>
    </row>
    <row r="42" customFormat="false" ht="23.85" hidden="false" customHeight="false" outlineLevel="0" collapsed="false">
      <c r="A42" s="2" t="s">
        <v>211</v>
      </c>
      <c r="B42" s="2" t="s">
        <v>212</v>
      </c>
      <c r="C42" s="4" t="s">
        <v>19</v>
      </c>
      <c r="D42" s="2" t="s">
        <v>214</v>
      </c>
      <c r="E42" s="2" t="s">
        <v>146</v>
      </c>
      <c r="F42" s="2" t="s">
        <v>266</v>
      </c>
      <c r="G42" s="2" t="s">
        <v>267</v>
      </c>
    </row>
    <row r="43" customFormat="false" ht="23.85" hidden="false" customHeight="false" outlineLevel="0" collapsed="false">
      <c r="A43" s="2" t="s">
        <v>215</v>
      </c>
      <c r="B43" s="2" t="s">
        <v>216</v>
      </c>
      <c r="C43" s="8" t="s">
        <v>185</v>
      </c>
      <c r="D43" s="2" t="s">
        <v>218</v>
      </c>
      <c r="E43" s="2" t="s">
        <v>146</v>
      </c>
      <c r="F43" s="2" t="s">
        <v>275</v>
      </c>
      <c r="G43" s="2" t="s">
        <v>274</v>
      </c>
    </row>
    <row r="44" customFormat="false" ht="23.85" hidden="false" customHeight="false" outlineLevel="0" collapsed="false">
      <c r="A44" s="2" t="s">
        <v>219</v>
      </c>
      <c r="B44" s="2" t="s">
        <v>220</v>
      </c>
      <c r="C44" s="8" t="s">
        <v>185</v>
      </c>
      <c r="D44" s="2" t="s">
        <v>222</v>
      </c>
      <c r="E44" s="2" t="s">
        <v>146</v>
      </c>
      <c r="F44" s="2" t="s">
        <v>276</v>
      </c>
      <c r="G44" s="2" t="s">
        <v>274</v>
      </c>
    </row>
    <row r="46" customFormat="false" ht="15" hidden="false" customHeight="false" outlineLevel="0" collapsed="false">
      <c r="A46" s="11" t="s">
        <v>277</v>
      </c>
    </row>
    <row r="47" customFormat="false" ht="15" hidden="false" customHeight="false" outlineLevel="0" collapsed="false">
      <c r="A47" s="12" t="s">
        <v>278</v>
      </c>
      <c r="B47" s="12" t="n">
        <f aca="false">COUNTIF(C2:C44,"Yes")</f>
        <v>33</v>
      </c>
      <c r="C47" s="12" t="s">
        <v>279</v>
      </c>
    </row>
    <row r="48" customFormat="false" ht="15" hidden="false" customHeight="false" outlineLevel="0" collapsed="false">
      <c r="A48" s="12" t="s">
        <v>280</v>
      </c>
      <c r="B48" s="12" t="n">
        <f aca="false">COUNTIF(C2:C44,"Partial")</f>
        <v>6</v>
      </c>
      <c r="C48" s="12" t="s">
        <v>281</v>
      </c>
    </row>
    <row r="49" customFormat="false" ht="15" hidden="false" customHeight="false" outlineLevel="0" collapsed="false">
      <c r="A49" s="12" t="s">
        <v>282</v>
      </c>
      <c r="B49" s="12" t="n">
        <f aca="false">COUNTIF(C2:C44,"No")</f>
        <v>4</v>
      </c>
      <c r="C49" s="12" t="s">
        <v>283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J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8"/>
    <col collapsed="false" customWidth="true" hidden="false" outlineLevel="0" max="4" min="4" style="0" width="32"/>
    <col collapsed="false" customWidth="true" hidden="false" outlineLevel="0" max="5" min="5" style="0" width="45"/>
    <col collapsed="false" customWidth="true" hidden="false" outlineLevel="0" max="8" min="6" style="0" width="10"/>
    <col collapsed="false" customWidth="true" hidden="false" outlineLevel="0" max="9" min="9" style="0" width="20"/>
    <col collapsed="false" customWidth="true" hidden="false" outlineLevel="0" max="10" min="10" style="0" width="70"/>
  </cols>
  <sheetData>
    <row r="1" customFormat="false" ht="26.85" hidden="false" customHeight="false" outlineLevel="0" collapsed="false">
      <c r="A1" s="1" t="s">
        <v>9</v>
      </c>
      <c r="B1" s="1" t="s">
        <v>284</v>
      </c>
      <c r="C1" s="1" t="s">
        <v>0</v>
      </c>
      <c r="D1" s="1" t="s">
        <v>244</v>
      </c>
      <c r="E1" s="1" t="s">
        <v>4</v>
      </c>
      <c r="F1" s="1" t="s">
        <v>3</v>
      </c>
      <c r="G1" s="1" t="s">
        <v>6</v>
      </c>
      <c r="H1" s="1" t="s">
        <v>285</v>
      </c>
      <c r="I1" s="1" t="s">
        <v>286</v>
      </c>
      <c r="J1" s="1" t="s">
        <v>287</v>
      </c>
    </row>
    <row r="2" customFormat="false" ht="15" hidden="false" customHeight="false" outlineLevel="0" collapsed="false">
      <c r="A2" s="2" t="n">
        <v>1</v>
      </c>
      <c r="B2" s="2" t="s">
        <v>288</v>
      </c>
      <c r="C2" s="2" t="s">
        <v>12</v>
      </c>
      <c r="D2" s="2" t="s">
        <v>13</v>
      </c>
      <c r="E2" s="2" t="s">
        <v>16</v>
      </c>
      <c r="F2" s="3" t="s">
        <v>15</v>
      </c>
      <c r="G2" s="2" t="s">
        <v>18</v>
      </c>
      <c r="H2" s="4" t="s">
        <v>19</v>
      </c>
      <c r="I2" s="2" t="s">
        <v>21</v>
      </c>
      <c r="J2" s="2" t="s">
        <v>289</v>
      </c>
    </row>
    <row r="3" customFormat="false" ht="15" hidden="false" customHeight="false" outlineLevel="0" collapsed="false">
      <c r="A3" s="2" t="n">
        <v>2</v>
      </c>
      <c r="B3" s="2" t="s">
        <v>288</v>
      </c>
      <c r="C3" s="2" t="s">
        <v>22</v>
      </c>
      <c r="D3" s="2" t="s">
        <v>13</v>
      </c>
      <c r="E3" s="2" t="s">
        <v>23</v>
      </c>
      <c r="F3" s="3" t="s">
        <v>15</v>
      </c>
      <c r="G3" s="2" t="s">
        <v>18</v>
      </c>
      <c r="H3" s="4" t="s">
        <v>19</v>
      </c>
      <c r="I3" s="2" t="s">
        <v>26</v>
      </c>
      <c r="J3" s="2" t="s">
        <v>290</v>
      </c>
    </row>
    <row r="4" customFormat="false" ht="15" hidden="false" customHeight="false" outlineLevel="0" collapsed="false">
      <c r="A4" s="2" t="n">
        <v>3</v>
      </c>
      <c r="B4" s="2" t="s">
        <v>288</v>
      </c>
      <c r="C4" s="2" t="s">
        <v>105</v>
      </c>
      <c r="D4" s="2" t="s">
        <v>106</v>
      </c>
      <c r="E4" s="2" t="s">
        <v>107</v>
      </c>
      <c r="F4" s="3" t="s">
        <v>15</v>
      </c>
      <c r="G4" s="2" t="s">
        <v>37</v>
      </c>
      <c r="H4" s="4" t="s">
        <v>19</v>
      </c>
      <c r="I4" s="2" t="s">
        <v>50</v>
      </c>
      <c r="J4" s="2" t="s">
        <v>291</v>
      </c>
    </row>
    <row r="5" customFormat="false" ht="15" hidden="false" customHeight="false" outlineLevel="0" collapsed="false">
      <c r="A5" s="2" t="n">
        <v>4</v>
      </c>
      <c r="B5" s="2" t="s">
        <v>288</v>
      </c>
      <c r="C5" s="2" t="s">
        <v>79</v>
      </c>
      <c r="D5" s="2" t="s">
        <v>80</v>
      </c>
      <c r="E5" s="2" t="s">
        <v>81</v>
      </c>
      <c r="F5" s="3" t="s">
        <v>15</v>
      </c>
      <c r="G5" s="2" t="s">
        <v>48</v>
      </c>
      <c r="H5" s="4" t="s">
        <v>19</v>
      </c>
      <c r="I5" s="2" t="s">
        <v>50</v>
      </c>
      <c r="J5" s="2" t="s">
        <v>292</v>
      </c>
    </row>
    <row r="6" customFormat="false" ht="15" hidden="false" customHeight="false" outlineLevel="0" collapsed="false">
      <c r="A6" s="2" t="n">
        <v>5</v>
      </c>
      <c r="B6" s="2" t="s">
        <v>288</v>
      </c>
      <c r="C6" s="2" t="s">
        <v>27</v>
      </c>
      <c r="D6" s="2" t="s">
        <v>13</v>
      </c>
      <c r="E6" s="2" t="s">
        <v>30</v>
      </c>
      <c r="F6" s="5" t="s">
        <v>29</v>
      </c>
      <c r="G6" s="2" t="s">
        <v>18</v>
      </c>
      <c r="H6" s="4" t="s">
        <v>19</v>
      </c>
      <c r="I6" s="2" t="s">
        <v>33</v>
      </c>
      <c r="J6" s="2" t="s">
        <v>293</v>
      </c>
    </row>
    <row r="7" customFormat="false" ht="15" hidden="false" customHeight="false" outlineLevel="0" collapsed="false">
      <c r="A7" s="2" t="n">
        <v>6</v>
      </c>
      <c r="B7" s="2" t="s">
        <v>288</v>
      </c>
      <c r="C7" s="2" t="s">
        <v>40</v>
      </c>
      <c r="D7" s="2" t="s">
        <v>13</v>
      </c>
      <c r="E7" s="2" t="s">
        <v>41</v>
      </c>
      <c r="F7" s="5" t="s">
        <v>29</v>
      </c>
      <c r="G7" s="2" t="s">
        <v>18</v>
      </c>
      <c r="H7" s="4" t="s">
        <v>19</v>
      </c>
      <c r="I7" s="2" t="s">
        <v>44</v>
      </c>
      <c r="J7" s="2" t="s">
        <v>294</v>
      </c>
    </row>
    <row r="8" customFormat="false" ht="15" hidden="false" customHeight="false" outlineLevel="0" collapsed="false">
      <c r="A8" s="2" t="n">
        <v>7</v>
      </c>
      <c r="B8" s="2" t="s">
        <v>288</v>
      </c>
      <c r="C8" s="2" t="s">
        <v>110</v>
      </c>
      <c r="D8" s="2" t="s">
        <v>106</v>
      </c>
      <c r="E8" s="2" t="s">
        <v>111</v>
      </c>
      <c r="F8" s="5" t="s">
        <v>29</v>
      </c>
      <c r="G8" s="2" t="s">
        <v>18</v>
      </c>
      <c r="H8" s="4" t="s">
        <v>19</v>
      </c>
      <c r="I8" s="2" t="s">
        <v>50</v>
      </c>
      <c r="J8" s="2" t="s">
        <v>295</v>
      </c>
    </row>
    <row r="9" customFormat="false" ht="23.85" hidden="false" customHeight="false" outlineLevel="0" collapsed="false">
      <c r="A9" s="2" t="n">
        <v>8</v>
      </c>
      <c r="B9" s="2" t="s">
        <v>288</v>
      </c>
      <c r="C9" s="2" t="s">
        <v>84</v>
      </c>
      <c r="D9" s="2" t="s">
        <v>80</v>
      </c>
      <c r="E9" s="2" t="s">
        <v>85</v>
      </c>
      <c r="F9" s="6" t="s">
        <v>18</v>
      </c>
      <c r="G9" s="2" t="s">
        <v>18</v>
      </c>
      <c r="H9" s="4" t="s">
        <v>19</v>
      </c>
      <c r="I9" s="2" t="s">
        <v>88</v>
      </c>
      <c r="J9" s="2" t="s">
        <v>296</v>
      </c>
    </row>
    <row r="10" customFormat="false" ht="23.85" hidden="false" customHeight="false" outlineLevel="0" collapsed="false">
      <c r="A10" s="2" t="n">
        <v>8</v>
      </c>
      <c r="B10" s="2" t="s">
        <v>288</v>
      </c>
      <c r="C10" s="2" t="s">
        <v>163</v>
      </c>
      <c r="D10" s="2" t="s">
        <v>164</v>
      </c>
      <c r="E10" s="2" t="s">
        <v>165</v>
      </c>
      <c r="F10" s="5" t="s">
        <v>29</v>
      </c>
      <c r="G10" s="2" t="s">
        <v>37</v>
      </c>
      <c r="H10" s="4" t="s">
        <v>19</v>
      </c>
      <c r="I10" s="2" t="s">
        <v>168</v>
      </c>
      <c r="J10" s="2" t="s">
        <v>296</v>
      </c>
    </row>
    <row r="11" customFormat="false" ht="23.85" hidden="false" customHeight="false" outlineLevel="0" collapsed="false">
      <c r="A11" s="2" t="n">
        <v>9</v>
      </c>
      <c r="B11" s="2" t="s">
        <v>297</v>
      </c>
      <c r="C11" s="2" t="s">
        <v>89</v>
      </c>
      <c r="D11" s="2" t="s">
        <v>80</v>
      </c>
      <c r="E11" s="2" t="s">
        <v>90</v>
      </c>
      <c r="F11" s="5" t="s">
        <v>29</v>
      </c>
      <c r="G11" s="2" t="s">
        <v>18</v>
      </c>
      <c r="H11" s="4" t="s">
        <v>19</v>
      </c>
      <c r="I11" s="2" t="s">
        <v>93</v>
      </c>
      <c r="J11" s="2" t="s">
        <v>298</v>
      </c>
    </row>
    <row r="12" customFormat="false" ht="15" hidden="false" customHeight="false" outlineLevel="0" collapsed="false">
      <c r="A12" s="2" t="n">
        <v>10</v>
      </c>
      <c r="B12" s="2" t="s">
        <v>297</v>
      </c>
      <c r="C12" s="2" t="s">
        <v>94</v>
      </c>
      <c r="D12" s="2" t="s">
        <v>80</v>
      </c>
      <c r="E12" s="2" t="s">
        <v>95</v>
      </c>
      <c r="F12" s="5" t="s">
        <v>29</v>
      </c>
      <c r="G12" s="2" t="s">
        <v>48</v>
      </c>
      <c r="H12" s="4" t="s">
        <v>19</v>
      </c>
      <c r="I12" s="2" t="s">
        <v>98</v>
      </c>
      <c r="J12" s="2" t="s">
        <v>299</v>
      </c>
    </row>
    <row r="13" customFormat="false" ht="15" hidden="false" customHeight="false" outlineLevel="0" collapsed="false">
      <c r="A13" s="2" t="n">
        <v>11</v>
      </c>
      <c r="B13" s="2" t="s">
        <v>297</v>
      </c>
      <c r="C13" s="2" t="s">
        <v>114</v>
      </c>
      <c r="D13" s="2" t="s">
        <v>106</v>
      </c>
      <c r="E13" s="2" t="s">
        <v>115</v>
      </c>
      <c r="F13" s="6" t="s">
        <v>18</v>
      </c>
      <c r="G13" s="2" t="s">
        <v>48</v>
      </c>
      <c r="H13" s="4" t="s">
        <v>19</v>
      </c>
      <c r="I13" s="2" t="s">
        <v>50</v>
      </c>
      <c r="J13" s="2" t="s">
        <v>300</v>
      </c>
    </row>
    <row r="14" customFormat="false" ht="23.85" hidden="false" customHeight="false" outlineLevel="0" collapsed="false">
      <c r="A14" s="2" t="n">
        <v>12</v>
      </c>
      <c r="B14" s="2" t="s">
        <v>297</v>
      </c>
      <c r="C14" s="2" t="s">
        <v>34</v>
      </c>
      <c r="D14" s="2" t="s">
        <v>13</v>
      </c>
      <c r="E14" s="2" t="s">
        <v>35</v>
      </c>
      <c r="F14" s="5" t="s">
        <v>29</v>
      </c>
      <c r="G14" s="2" t="s">
        <v>37</v>
      </c>
      <c r="H14" s="4" t="s">
        <v>19</v>
      </c>
      <c r="I14" s="2" t="s">
        <v>39</v>
      </c>
      <c r="J14" s="2" t="s">
        <v>301</v>
      </c>
    </row>
    <row r="15" customFormat="false" ht="15" hidden="false" customHeight="false" outlineLevel="0" collapsed="false">
      <c r="A15" s="2" t="n">
        <v>13</v>
      </c>
      <c r="B15" s="2" t="s">
        <v>297</v>
      </c>
      <c r="C15" s="2" t="s">
        <v>122</v>
      </c>
      <c r="D15" s="2" t="s">
        <v>106</v>
      </c>
      <c r="E15" s="2" t="s">
        <v>123</v>
      </c>
      <c r="F15" s="5" t="s">
        <v>29</v>
      </c>
      <c r="G15" s="2" t="s">
        <v>18</v>
      </c>
      <c r="H15" s="7" t="s">
        <v>102</v>
      </c>
      <c r="I15" s="2" t="s">
        <v>50</v>
      </c>
      <c r="J15" s="2" t="s">
        <v>302</v>
      </c>
    </row>
    <row r="16" customFormat="false" ht="23.85" hidden="false" customHeight="false" outlineLevel="0" collapsed="false">
      <c r="A16" s="2" t="n">
        <v>14</v>
      </c>
      <c r="B16" s="2" t="s">
        <v>297</v>
      </c>
      <c r="C16" s="2" t="s">
        <v>148</v>
      </c>
      <c r="D16" s="2" t="s">
        <v>106</v>
      </c>
      <c r="E16" s="2" t="s">
        <v>149</v>
      </c>
      <c r="F16" s="5" t="s">
        <v>29</v>
      </c>
      <c r="G16" s="2" t="s">
        <v>37</v>
      </c>
      <c r="H16" s="4" t="s">
        <v>19</v>
      </c>
      <c r="I16" s="2" t="s">
        <v>152</v>
      </c>
      <c r="J16" s="2" t="s">
        <v>303</v>
      </c>
    </row>
    <row r="17" customFormat="false" ht="23.85" hidden="false" customHeight="false" outlineLevel="0" collapsed="false">
      <c r="A17" s="2" t="n">
        <v>14</v>
      </c>
      <c r="B17" s="2" t="s">
        <v>297</v>
      </c>
      <c r="C17" s="2" t="s">
        <v>207</v>
      </c>
      <c r="D17" s="2" t="s">
        <v>198</v>
      </c>
      <c r="E17" s="2" t="s">
        <v>208</v>
      </c>
      <c r="F17" s="5" t="s">
        <v>29</v>
      </c>
      <c r="G17" s="2" t="s">
        <v>18</v>
      </c>
      <c r="H17" s="4" t="s">
        <v>19</v>
      </c>
      <c r="I17" s="2" t="s">
        <v>55</v>
      </c>
      <c r="J17" s="2" t="s">
        <v>303</v>
      </c>
    </row>
    <row r="18" customFormat="false" ht="15" hidden="false" customHeight="false" outlineLevel="0" collapsed="false">
      <c r="A18" s="2" t="n">
        <v>15</v>
      </c>
      <c r="B18" s="2" t="s">
        <v>297</v>
      </c>
      <c r="C18" s="2" t="s">
        <v>45</v>
      </c>
      <c r="D18" s="2" t="s">
        <v>13</v>
      </c>
      <c r="E18" s="2" t="s">
        <v>46</v>
      </c>
      <c r="F18" s="6" t="s">
        <v>18</v>
      </c>
      <c r="G18" s="2" t="s">
        <v>48</v>
      </c>
      <c r="H18" s="4" t="s">
        <v>19</v>
      </c>
      <c r="I18" s="2" t="s">
        <v>50</v>
      </c>
      <c r="J18" s="2" t="s">
        <v>304</v>
      </c>
    </row>
    <row r="19" customFormat="false" ht="15" hidden="false" customHeight="false" outlineLevel="0" collapsed="false">
      <c r="A19" s="2" t="n">
        <v>15</v>
      </c>
      <c r="B19" s="2" t="s">
        <v>297</v>
      </c>
      <c r="C19" s="2" t="s">
        <v>211</v>
      </c>
      <c r="D19" s="2" t="s">
        <v>198</v>
      </c>
      <c r="E19" s="2" t="s">
        <v>212</v>
      </c>
      <c r="F19" s="5" t="s">
        <v>29</v>
      </c>
      <c r="G19" s="2" t="s">
        <v>146</v>
      </c>
      <c r="H19" s="4" t="s">
        <v>19</v>
      </c>
      <c r="I19" s="2" t="s">
        <v>168</v>
      </c>
      <c r="J19" s="2" t="s">
        <v>304</v>
      </c>
    </row>
    <row r="20" customFormat="false" ht="15" hidden="false" customHeight="false" outlineLevel="0" collapsed="false">
      <c r="A20" s="2" t="n">
        <v>16</v>
      </c>
      <c r="B20" s="2" t="s">
        <v>297</v>
      </c>
      <c r="C20" s="2" t="s">
        <v>51</v>
      </c>
      <c r="D20" s="2" t="s">
        <v>13</v>
      </c>
      <c r="E20" s="2" t="s">
        <v>52</v>
      </c>
      <c r="F20" s="6" t="s">
        <v>18</v>
      </c>
      <c r="G20" s="2" t="s">
        <v>48</v>
      </c>
      <c r="H20" s="4" t="s">
        <v>19</v>
      </c>
      <c r="I20" s="2" t="s">
        <v>55</v>
      </c>
      <c r="J20" s="2" t="s">
        <v>305</v>
      </c>
    </row>
    <row r="21" customFormat="false" ht="23.85" hidden="false" customHeight="false" outlineLevel="0" collapsed="false">
      <c r="A21" s="2" t="n">
        <v>17</v>
      </c>
      <c r="B21" s="2" t="s">
        <v>306</v>
      </c>
      <c r="C21" s="2" t="s">
        <v>118</v>
      </c>
      <c r="D21" s="2" t="s">
        <v>106</v>
      </c>
      <c r="E21" s="2" t="s">
        <v>119</v>
      </c>
      <c r="F21" s="6" t="s">
        <v>18</v>
      </c>
      <c r="G21" s="2" t="s">
        <v>48</v>
      </c>
      <c r="H21" s="4" t="s">
        <v>19</v>
      </c>
      <c r="I21" s="2" t="s">
        <v>50</v>
      </c>
      <c r="J21" s="2" t="s">
        <v>307</v>
      </c>
    </row>
    <row r="22" customFormat="false" ht="23.85" hidden="false" customHeight="false" outlineLevel="0" collapsed="false">
      <c r="A22" s="2" t="n">
        <v>18</v>
      </c>
      <c r="B22" s="2" t="s">
        <v>306</v>
      </c>
      <c r="C22" s="2" t="s">
        <v>61</v>
      </c>
      <c r="D22" s="2" t="s">
        <v>13</v>
      </c>
      <c r="E22" s="2" t="s">
        <v>62</v>
      </c>
      <c r="F22" s="6" t="s">
        <v>18</v>
      </c>
      <c r="G22" s="2" t="s">
        <v>48</v>
      </c>
      <c r="H22" s="4" t="s">
        <v>19</v>
      </c>
      <c r="I22" s="2" t="s">
        <v>50</v>
      </c>
      <c r="J22" s="2" t="s">
        <v>308</v>
      </c>
    </row>
    <row r="23" customFormat="false" ht="23.85" hidden="false" customHeight="false" outlineLevel="0" collapsed="false">
      <c r="A23" s="2" t="n">
        <v>19</v>
      </c>
      <c r="B23" s="2" t="s">
        <v>306</v>
      </c>
      <c r="C23" s="2" t="s">
        <v>65</v>
      </c>
      <c r="D23" s="2" t="s">
        <v>13</v>
      </c>
      <c r="E23" s="2" t="s">
        <v>66</v>
      </c>
      <c r="F23" s="6" t="s">
        <v>18</v>
      </c>
      <c r="G23" s="2" t="s">
        <v>18</v>
      </c>
      <c r="H23" s="4" t="s">
        <v>19</v>
      </c>
      <c r="I23" s="2" t="s">
        <v>50</v>
      </c>
      <c r="J23" s="2" t="s">
        <v>309</v>
      </c>
    </row>
    <row r="24" customFormat="false" ht="23.85" hidden="false" customHeight="false" outlineLevel="0" collapsed="false">
      <c r="A24" s="2" t="n">
        <v>20</v>
      </c>
      <c r="B24" s="2" t="s">
        <v>306</v>
      </c>
      <c r="C24" s="2" t="s">
        <v>56</v>
      </c>
      <c r="D24" s="2" t="s">
        <v>13</v>
      </c>
      <c r="E24" s="2" t="s">
        <v>57</v>
      </c>
      <c r="F24" s="6" t="s">
        <v>18</v>
      </c>
      <c r="G24" s="2" t="s">
        <v>48</v>
      </c>
      <c r="H24" s="4" t="s">
        <v>19</v>
      </c>
      <c r="I24" s="2" t="s">
        <v>60</v>
      </c>
      <c r="J24" s="2" t="s">
        <v>310</v>
      </c>
    </row>
    <row r="25" customFormat="false" ht="23.85" hidden="false" customHeight="false" outlineLevel="0" collapsed="false">
      <c r="A25" s="2" t="n">
        <v>21</v>
      </c>
      <c r="B25" s="2" t="s">
        <v>306</v>
      </c>
      <c r="C25" s="2" t="s">
        <v>126</v>
      </c>
      <c r="D25" s="2" t="s">
        <v>106</v>
      </c>
      <c r="E25" s="2" t="s">
        <v>127</v>
      </c>
      <c r="F25" s="6" t="s">
        <v>18</v>
      </c>
      <c r="G25" s="2" t="s">
        <v>48</v>
      </c>
      <c r="H25" s="4" t="s">
        <v>19</v>
      </c>
      <c r="I25" s="2" t="s">
        <v>130</v>
      </c>
      <c r="J25" s="2" t="s">
        <v>311</v>
      </c>
    </row>
    <row r="26" customFormat="false" ht="23.85" hidden="false" customHeight="false" outlineLevel="0" collapsed="false">
      <c r="A26" s="2" t="n">
        <v>22</v>
      </c>
      <c r="B26" s="2" t="s">
        <v>306</v>
      </c>
      <c r="C26" s="2" t="s">
        <v>69</v>
      </c>
      <c r="D26" s="2" t="s">
        <v>13</v>
      </c>
      <c r="E26" s="2" t="s">
        <v>71</v>
      </c>
      <c r="F26" s="6" t="s">
        <v>18</v>
      </c>
      <c r="G26" s="2" t="s">
        <v>37</v>
      </c>
      <c r="H26" s="4" t="s">
        <v>19</v>
      </c>
      <c r="I26" s="2" t="s">
        <v>60</v>
      </c>
      <c r="J26" s="2" t="s">
        <v>312</v>
      </c>
    </row>
    <row r="27" customFormat="false" ht="23.85" hidden="false" customHeight="false" outlineLevel="0" collapsed="false">
      <c r="A27" s="2" t="n">
        <v>23</v>
      </c>
      <c r="B27" s="2" t="s">
        <v>306</v>
      </c>
      <c r="C27" s="2" t="s">
        <v>99</v>
      </c>
      <c r="D27" s="2" t="s">
        <v>80</v>
      </c>
      <c r="E27" s="2" t="s">
        <v>100</v>
      </c>
      <c r="F27" s="6" t="s">
        <v>18</v>
      </c>
      <c r="G27" s="2" t="s">
        <v>37</v>
      </c>
      <c r="H27" s="7" t="s">
        <v>102</v>
      </c>
      <c r="I27" s="2" t="s">
        <v>104</v>
      </c>
      <c r="J27" s="2" t="s">
        <v>313</v>
      </c>
    </row>
    <row r="28" customFormat="false" ht="23.85" hidden="false" customHeight="false" outlineLevel="0" collapsed="false">
      <c r="A28" s="2" t="n">
        <v>23</v>
      </c>
      <c r="B28" s="2" t="s">
        <v>306</v>
      </c>
      <c r="C28" s="2" t="s">
        <v>203</v>
      </c>
      <c r="D28" s="2" t="s">
        <v>198</v>
      </c>
      <c r="E28" s="2" t="s">
        <v>204</v>
      </c>
      <c r="F28" s="6" t="s">
        <v>18</v>
      </c>
      <c r="G28" s="2" t="s">
        <v>48</v>
      </c>
      <c r="H28" s="4" t="s">
        <v>19</v>
      </c>
      <c r="I28" s="2" t="s">
        <v>50</v>
      </c>
      <c r="J28" s="2" t="s">
        <v>313</v>
      </c>
    </row>
    <row r="29" customFormat="false" ht="23.85" hidden="false" customHeight="false" outlineLevel="0" collapsed="false">
      <c r="A29" s="2" t="n">
        <v>24</v>
      </c>
      <c r="B29" s="2" t="s">
        <v>306</v>
      </c>
      <c r="C29" s="2" t="s">
        <v>131</v>
      </c>
      <c r="D29" s="2" t="s">
        <v>106</v>
      </c>
      <c r="E29" s="2" t="s">
        <v>132</v>
      </c>
      <c r="F29" s="6" t="s">
        <v>18</v>
      </c>
      <c r="G29" s="2" t="s">
        <v>48</v>
      </c>
      <c r="H29" s="4" t="s">
        <v>19</v>
      </c>
      <c r="I29" s="2" t="s">
        <v>50</v>
      </c>
      <c r="J29" s="2" t="s">
        <v>314</v>
      </c>
    </row>
    <row r="30" customFormat="false" ht="23.85" hidden="false" customHeight="false" outlineLevel="0" collapsed="false">
      <c r="A30" s="2" t="n">
        <v>25</v>
      </c>
      <c r="B30" s="2" t="s">
        <v>306</v>
      </c>
      <c r="C30" s="2" t="s">
        <v>135</v>
      </c>
      <c r="D30" s="2" t="s">
        <v>106</v>
      </c>
      <c r="E30" s="2" t="s">
        <v>136</v>
      </c>
      <c r="F30" s="6" t="s">
        <v>18</v>
      </c>
      <c r="G30" s="2" t="s">
        <v>48</v>
      </c>
      <c r="H30" s="4" t="s">
        <v>19</v>
      </c>
      <c r="I30" s="2" t="s">
        <v>50</v>
      </c>
      <c r="J30" s="2" t="s">
        <v>315</v>
      </c>
    </row>
    <row r="31" customFormat="false" ht="15" hidden="false" customHeight="false" outlineLevel="0" collapsed="false">
      <c r="A31" s="2" t="n">
        <v>26</v>
      </c>
      <c r="B31" s="2" t="s">
        <v>316</v>
      </c>
      <c r="C31" s="2" t="s">
        <v>143</v>
      </c>
      <c r="D31" s="2" t="s">
        <v>106</v>
      </c>
      <c r="E31" s="2" t="s">
        <v>144</v>
      </c>
      <c r="F31" s="5" t="s">
        <v>29</v>
      </c>
      <c r="G31" s="2" t="s">
        <v>146</v>
      </c>
      <c r="H31" s="7" t="s">
        <v>102</v>
      </c>
      <c r="I31" s="2" t="s">
        <v>55</v>
      </c>
      <c r="J31" s="2" t="s">
        <v>317</v>
      </c>
    </row>
    <row r="32" customFormat="false" ht="15" hidden="false" customHeight="false" outlineLevel="0" collapsed="false">
      <c r="A32" s="2" t="n">
        <v>26</v>
      </c>
      <c r="B32" s="2" t="s">
        <v>316</v>
      </c>
      <c r="C32" s="2" t="s">
        <v>169</v>
      </c>
      <c r="D32" s="2" t="s">
        <v>164</v>
      </c>
      <c r="E32" s="2" t="s">
        <v>170</v>
      </c>
      <c r="F32" s="6" t="s">
        <v>18</v>
      </c>
      <c r="G32" s="2" t="s">
        <v>18</v>
      </c>
      <c r="H32" s="7" t="s">
        <v>102</v>
      </c>
      <c r="I32" s="2" t="s">
        <v>152</v>
      </c>
      <c r="J32" s="2" t="s">
        <v>317</v>
      </c>
    </row>
    <row r="33" customFormat="false" ht="15" hidden="false" customHeight="false" outlineLevel="0" collapsed="false">
      <c r="A33" s="2" t="n">
        <v>27</v>
      </c>
      <c r="B33" s="2" t="s">
        <v>316</v>
      </c>
      <c r="C33" s="2" t="s">
        <v>139</v>
      </c>
      <c r="D33" s="2" t="s">
        <v>106</v>
      </c>
      <c r="E33" s="2" t="s">
        <v>140</v>
      </c>
      <c r="F33" s="6" t="s">
        <v>18</v>
      </c>
      <c r="G33" s="2" t="s">
        <v>48</v>
      </c>
      <c r="H33" s="4" t="s">
        <v>19</v>
      </c>
      <c r="I33" s="2" t="s">
        <v>50</v>
      </c>
      <c r="J33" s="2" t="s">
        <v>318</v>
      </c>
    </row>
    <row r="34" customFormat="false" ht="15" hidden="false" customHeight="false" outlineLevel="0" collapsed="false">
      <c r="A34" s="2" t="n">
        <v>28</v>
      </c>
      <c r="B34" s="2" t="s">
        <v>316</v>
      </c>
      <c r="C34" s="2" t="s">
        <v>74</v>
      </c>
      <c r="D34" s="2" t="s">
        <v>13</v>
      </c>
      <c r="E34" s="2" t="s">
        <v>75</v>
      </c>
      <c r="F34" s="6" t="s">
        <v>18</v>
      </c>
      <c r="G34" s="2" t="s">
        <v>37</v>
      </c>
      <c r="H34" s="4" t="s">
        <v>19</v>
      </c>
      <c r="I34" s="2" t="s">
        <v>78</v>
      </c>
      <c r="J34" s="2" t="s">
        <v>319</v>
      </c>
    </row>
    <row r="35" customFormat="false" ht="15" hidden="false" customHeight="false" outlineLevel="0" collapsed="false">
      <c r="A35" s="2" t="n">
        <v>29</v>
      </c>
      <c r="B35" s="2" t="s">
        <v>316</v>
      </c>
      <c r="C35" s="2" t="s">
        <v>153</v>
      </c>
      <c r="D35" s="2" t="s">
        <v>106</v>
      </c>
      <c r="E35" s="2" t="s">
        <v>154</v>
      </c>
      <c r="F35" s="5" t="s">
        <v>29</v>
      </c>
      <c r="G35" s="2" t="s">
        <v>37</v>
      </c>
      <c r="H35" s="4" t="s">
        <v>19</v>
      </c>
      <c r="I35" s="2" t="s">
        <v>157</v>
      </c>
      <c r="J35" s="2" t="s">
        <v>320</v>
      </c>
    </row>
    <row r="36" customFormat="false" ht="15" hidden="false" customHeight="false" outlineLevel="0" collapsed="false">
      <c r="A36" s="2" t="n">
        <v>30</v>
      </c>
      <c r="B36" s="2" t="s">
        <v>316</v>
      </c>
      <c r="C36" s="2" t="s">
        <v>158</v>
      </c>
      <c r="D36" s="2" t="s">
        <v>106</v>
      </c>
      <c r="E36" s="2" t="s">
        <v>159</v>
      </c>
      <c r="F36" s="6" t="s">
        <v>18</v>
      </c>
      <c r="G36" s="2" t="s">
        <v>18</v>
      </c>
      <c r="H36" s="4" t="s">
        <v>19</v>
      </c>
      <c r="I36" s="2" t="s">
        <v>162</v>
      </c>
      <c r="J36" s="2" t="s">
        <v>321</v>
      </c>
    </row>
    <row r="37" customFormat="false" ht="15" hidden="false" customHeight="false" outlineLevel="0" collapsed="false">
      <c r="A37" s="2" t="n">
        <v>31</v>
      </c>
      <c r="B37" s="2" t="s">
        <v>316</v>
      </c>
      <c r="C37" s="2" t="s">
        <v>173</v>
      </c>
      <c r="D37" s="2" t="s">
        <v>164</v>
      </c>
      <c r="E37" s="2" t="s">
        <v>174</v>
      </c>
      <c r="F37" s="6" t="s">
        <v>18</v>
      </c>
      <c r="G37" s="2" t="s">
        <v>18</v>
      </c>
      <c r="H37" s="7" t="s">
        <v>102</v>
      </c>
      <c r="I37" s="2" t="s">
        <v>177</v>
      </c>
      <c r="J37" s="2" t="s">
        <v>322</v>
      </c>
    </row>
    <row r="38" customFormat="false" ht="15" hidden="false" customHeight="false" outlineLevel="0" collapsed="false">
      <c r="A38" s="2" t="n">
        <v>32</v>
      </c>
      <c r="B38" s="2" t="s">
        <v>316</v>
      </c>
      <c r="C38" s="2" t="s">
        <v>178</v>
      </c>
      <c r="D38" s="2" t="s">
        <v>164</v>
      </c>
      <c r="E38" s="2" t="s">
        <v>179</v>
      </c>
      <c r="F38" s="6" t="s">
        <v>18</v>
      </c>
      <c r="G38" s="2" t="s">
        <v>18</v>
      </c>
      <c r="H38" s="4" t="s">
        <v>19</v>
      </c>
      <c r="I38" s="2" t="s">
        <v>50</v>
      </c>
      <c r="J38" s="2" t="s">
        <v>323</v>
      </c>
    </row>
    <row r="39" customFormat="false" ht="15" hidden="false" customHeight="false" outlineLevel="0" collapsed="false">
      <c r="A39" s="2" t="n">
        <v>33</v>
      </c>
      <c r="B39" s="2" t="s">
        <v>316</v>
      </c>
      <c r="C39" s="2" t="s">
        <v>187</v>
      </c>
      <c r="D39" s="2" t="s">
        <v>164</v>
      </c>
      <c r="E39" s="2" t="s">
        <v>188</v>
      </c>
      <c r="F39" s="6" t="s">
        <v>18</v>
      </c>
      <c r="G39" s="2" t="s">
        <v>18</v>
      </c>
      <c r="H39" s="4" t="s">
        <v>19</v>
      </c>
      <c r="I39" s="2" t="s">
        <v>191</v>
      </c>
      <c r="J39" s="2" t="s">
        <v>324</v>
      </c>
    </row>
    <row r="40" customFormat="false" ht="15" hidden="false" customHeight="false" outlineLevel="0" collapsed="false">
      <c r="A40" s="2" t="n">
        <v>34</v>
      </c>
      <c r="B40" s="2" t="s">
        <v>316</v>
      </c>
      <c r="C40" s="2" t="s">
        <v>192</v>
      </c>
      <c r="D40" s="2" t="s">
        <v>164</v>
      </c>
      <c r="E40" s="2" t="s">
        <v>193</v>
      </c>
      <c r="F40" s="6" t="s">
        <v>18</v>
      </c>
      <c r="G40" s="2" t="s">
        <v>37</v>
      </c>
      <c r="H40" s="7" t="s">
        <v>102</v>
      </c>
      <c r="I40" s="2" t="s">
        <v>196</v>
      </c>
      <c r="J40" s="2" t="s">
        <v>325</v>
      </c>
    </row>
    <row r="41" customFormat="false" ht="15" hidden="false" customHeight="false" outlineLevel="0" collapsed="false">
      <c r="A41" s="2" t="n">
        <v>35</v>
      </c>
      <c r="B41" s="2" t="s">
        <v>316</v>
      </c>
      <c r="C41" s="2" t="s">
        <v>182</v>
      </c>
      <c r="D41" s="2" t="s">
        <v>164</v>
      </c>
      <c r="E41" s="2" t="s">
        <v>183</v>
      </c>
      <c r="F41" s="6" t="s">
        <v>18</v>
      </c>
      <c r="G41" s="2" t="s">
        <v>146</v>
      </c>
      <c r="H41" s="8" t="s">
        <v>185</v>
      </c>
      <c r="I41" s="2" t="s">
        <v>60</v>
      </c>
      <c r="J41" s="2" t="s">
        <v>326</v>
      </c>
    </row>
    <row r="42" customFormat="false" ht="15" hidden="false" customHeight="false" outlineLevel="0" collapsed="false">
      <c r="A42" s="2" t="n">
        <v>36</v>
      </c>
      <c r="B42" s="2" t="s">
        <v>316</v>
      </c>
      <c r="C42" s="2" t="s">
        <v>197</v>
      </c>
      <c r="D42" s="2" t="s">
        <v>198</v>
      </c>
      <c r="E42" s="2" t="s">
        <v>199</v>
      </c>
      <c r="F42" s="5" t="s">
        <v>29</v>
      </c>
      <c r="G42" s="2" t="s">
        <v>146</v>
      </c>
      <c r="H42" s="8" t="s">
        <v>185</v>
      </c>
      <c r="I42" s="2" t="s">
        <v>202</v>
      </c>
      <c r="J42" s="2" t="s">
        <v>327</v>
      </c>
    </row>
    <row r="43" customFormat="false" ht="15" hidden="false" customHeight="false" outlineLevel="0" collapsed="false">
      <c r="A43" s="2" t="n">
        <v>37</v>
      </c>
      <c r="B43" s="2" t="s">
        <v>316</v>
      </c>
      <c r="C43" s="2" t="s">
        <v>215</v>
      </c>
      <c r="D43" s="2" t="s">
        <v>198</v>
      </c>
      <c r="E43" s="2" t="s">
        <v>216</v>
      </c>
      <c r="F43" s="5" t="s">
        <v>29</v>
      </c>
      <c r="G43" s="2" t="s">
        <v>146</v>
      </c>
      <c r="H43" s="8" t="s">
        <v>185</v>
      </c>
      <c r="I43" s="2" t="s">
        <v>202</v>
      </c>
      <c r="J43" s="2" t="s">
        <v>328</v>
      </c>
    </row>
    <row r="44" customFormat="false" ht="15" hidden="false" customHeight="false" outlineLevel="0" collapsed="false">
      <c r="A44" s="2" t="n">
        <v>38</v>
      </c>
      <c r="B44" s="2" t="s">
        <v>316</v>
      </c>
      <c r="C44" s="2" t="s">
        <v>219</v>
      </c>
      <c r="D44" s="2" t="s">
        <v>198</v>
      </c>
      <c r="E44" s="2" t="s">
        <v>220</v>
      </c>
      <c r="F44" s="6" t="s">
        <v>18</v>
      </c>
      <c r="G44" s="2" t="s">
        <v>146</v>
      </c>
      <c r="H44" s="8" t="s">
        <v>185</v>
      </c>
      <c r="I44" s="2" t="s">
        <v>50</v>
      </c>
      <c r="J44" s="2" t="s">
        <v>329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3" min="3" style="0" width="28"/>
    <col collapsed="false" customWidth="true" hidden="false" outlineLevel="0" max="4" min="4" style="0" width="80"/>
    <col collapsed="false" customWidth="true" hidden="false" outlineLevel="0" max="5" min="5" style="0" width="30"/>
    <col collapsed="false" customWidth="true" hidden="false" outlineLevel="0" max="7" min="6" style="0" width="25"/>
    <col collapsed="false" customWidth="true" hidden="false" outlineLevel="0" max="8" min="8" style="0" width="70"/>
  </cols>
  <sheetData>
    <row r="1" customFormat="false" ht="26.85" hidden="false" customHeight="false" outlineLevel="0" collapsed="false">
      <c r="A1" s="1" t="s">
        <v>330</v>
      </c>
      <c r="B1" s="1" t="s">
        <v>331</v>
      </c>
      <c r="C1" s="1" t="s">
        <v>332</v>
      </c>
      <c r="D1" s="1" t="s">
        <v>5</v>
      </c>
      <c r="E1" s="1" t="s">
        <v>333</v>
      </c>
      <c r="F1" s="1" t="s">
        <v>10</v>
      </c>
      <c r="G1" s="1" t="s">
        <v>7</v>
      </c>
      <c r="H1" s="1" t="s">
        <v>334</v>
      </c>
    </row>
    <row r="2" customFormat="false" ht="23.85" hidden="false" customHeight="false" outlineLevel="0" collapsed="false">
      <c r="A2" s="2" t="n">
        <v>1</v>
      </c>
      <c r="B2" s="2" t="s">
        <v>335</v>
      </c>
      <c r="C2" s="2" t="s">
        <v>336</v>
      </c>
      <c r="D2" s="2" t="s">
        <v>337</v>
      </c>
      <c r="E2" s="2" t="s">
        <v>338</v>
      </c>
      <c r="F2" s="2" t="s">
        <v>339</v>
      </c>
      <c r="G2" s="13" t="s">
        <v>19</v>
      </c>
      <c r="H2" s="2" t="s">
        <v>340</v>
      </c>
    </row>
    <row r="3" customFormat="false" ht="23.85" hidden="false" customHeight="false" outlineLevel="0" collapsed="false">
      <c r="A3" s="2" t="n">
        <v>2</v>
      </c>
      <c r="B3" s="2" t="s">
        <v>341</v>
      </c>
      <c r="C3" s="2" t="s">
        <v>342</v>
      </c>
      <c r="D3" s="2" t="s">
        <v>343</v>
      </c>
      <c r="E3" s="2" t="s">
        <v>344</v>
      </c>
      <c r="F3" s="2" t="s">
        <v>345</v>
      </c>
      <c r="G3" s="14" t="s">
        <v>346</v>
      </c>
      <c r="H3" s="2" t="s">
        <v>347</v>
      </c>
    </row>
    <row r="4" customFormat="false" ht="23.85" hidden="false" customHeight="false" outlineLevel="0" collapsed="false">
      <c r="A4" s="2" t="n">
        <v>3</v>
      </c>
      <c r="B4" s="2" t="s">
        <v>348</v>
      </c>
      <c r="C4" s="2" t="s">
        <v>336</v>
      </c>
      <c r="D4" s="2" t="s">
        <v>349</v>
      </c>
      <c r="E4" s="2" t="s">
        <v>22</v>
      </c>
      <c r="F4" s="2" t="s">
        <v>26</v>
      </c>
      <c r="G4" s="13" t="s">
        <v>19</v>
      </c>
      <c r="H4" s="2" t="s">
        <v>350</v>
      </c>
    </row>
    <row r="5" customFormat="false" ht="23.85" hidden="false" customHeight="false" outlineLevel="0" collapsed="false">
      <c r="A5" s="2" t="n">
        <v>4</v>
      </c>
      <c r="B5" s="2" t="s">
        <v>351</v>
      </c>
      <c r="C5" s="2" t="s">
        <v>342</v>
      </c>
      <c r="D5" s="2" t="s">
        <v>352</v>
      </c>
      <c r="E5" s="2" t="s">
        <v>353</v>
      </c>
      <c r="F5" s="2" t="s">
        <v>152</v>
      </c>
      <c r="G5" s="13" t="s">
        <v>19</v>
      </c>
      <c r="H5" s="2" t="s">
        <v>354</v>
      </c>
    </row>
    <row r="6" customFormat="false" ht="23.85" hidden="false" customHeight="false" outlineLevel="0" collapsed="false">
      <c r="A6" s="2" t="n">
        <v>5</v>
      </c>
      <c r="B6" s="2" t="s">
        <v>355</v>
      </c>
      <c r="C6" s="2" t="s">
        <v>356</v>
      </c>
      <c r="D6" s="2" t="s">
        <v>357</v>
      </c>
      <c r="E6" s="2" t="s">
        <v>358</v>
      </c>
      <c r="F6" s="2" t="s">
        <v>93</v>
      </c>
      <c r="G6" s="13" t="s">
        <v>19</v>
      </c>
      <c r="H6" s="2" t="s">
        <v>359</v>
      </c>
    </row>
    <row r="7" customFormat="false" ht="23.85" hidden="false" customHeight="false" outlineLevel="0" collapsed="false">
      <c r="A7" s="2" t="n">
        <v>6</v>
      </c>
      <c r="B7" s="2" t="s">
        <v>360</v>
      </c>
      <c r="C7" s="2" t="s">
        <v>336</v>
      </c>
      <c r="D7" s="2" t="s">
        <v>361</v>
      </c>
      <c r="E7" s="2" t="s">
        <v>362</v>
      </c>
      <c r="F7" s="2" t="s">
        <v>44</v>
      </c>
      <c r="G7" s="13" t="s">
        <v>19</v>
      </c>
      <c r="H7" s="2" t="s">
        <v>363</v>
      </c>
    </row>
    <row r="8" customFormat="false" ht="23.85" hidden="false" customHeight="false" outlineLevel="0" collapsed="false">
      <c r="A8" s="2" t="n">
        <v>7</v>
      </c>
      <c r="B8" s="2" t="s">
        <v>364</v>
      </c>
      <c r="C8" s="2" t="s">
        <v>365</v>
      </c>
      <c r="D8" s="2" t="s">
        <v>366</v>
      </c>
      <c r="E8" s="2" t="s">
        <v>367</v>
      </c>
      <c r="F8" s="2" t="s">
        <v>168</v>
      </c>
      <c r="G8" s="13" t="s">
        <v>368</v>
      </c>
      <c r="H8" s="2" t="s">
        <v>369</v>
      </c>
    </row>
    <row r="9" customFormat="false" ht="23.85" hidden="false" customHeight="false" outlineLevel="0" collapsed="false">
      <c r="A9" s="2" t="n">
        <v>8</v>
      </c>
      <c r="B9" s="2" t="s">
        <v>370</v>
      </c>
      <c r="C9" s="2" t="s">
        <v>336</v>
      </c>
      <c r="D9" s="2" t="s">
        <v>371</v>
      </c>
      <c r="E9" s="2" t="s">
        <v>372</v>
      </c>
      <c r="F9" s="2" t="s">
        <v>373</v>
      </c>
      <c r="G9" s="13" t="s">
        <v>19</v>
      </c>
      <c r="H9" s="2" t="s">
        <v>374</v>
      </c>
    </row>
    <row r="10" customFormat="false" ht="23.85" hidden="false" customHeight="false" outlineLevel="0" collapsed="false">
      <c r="A10" s="2" t="n">
        <v>9</v>
      </c>
      <c r="B10" s="2" t="s">
        <v>375</v>
      </c>
      <c r="C10" s="2" t="s">
        <v>342</v>
      </c>
      <c r="D10" s="2" t="s">
        <v>376</v>
      </c>
      <c r="E10" s="2" t="s">
        <v>377</v>
      </c>
      <c r="F10" s="2" t="s">
        <v>202</v>
      </c>
      <c r="G10" s="14" t="s">
        <v>102</v>
      </c>
      <c r="H10" s="2" t="s">
        <v>378</v>
      </c>
    </row>
    <row r="11" customFormat="false" ht="23.85" hidden="false" customHeight="false" outlineLevel="0" collapsed="false">
      <c r="A11" s="2" t="n">
        <v>10</v>
      </c>
      <c r="B11" s="2" t="s">
        <v>379</v>
      </c>
      <c r="C11" s="2" t="s">
        <v>365</v>
      </c>
      <c r="D11" s="2" t="s">
        <v>380</v>
      </c>
      <c r="E11" s="2" t="s">
        <v>381</v>
      </c>
      <c r="F11" s="2" t="s">
        <v>382</v>
      </c>
      <c r="G11" s="13" t="s">
        <v>19</v>
      </c>
      <c r="H11" s="2" t="s">
        <v>383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2026-02-27T19:57:50Z</dcterms:created>
  <dc:creator>openpyxl</dc:creator>
  <dc:description/>
  <dc:language>en-US</dc:language>
  <cp:lastModifiedBy/>
  <dcterms:modified xsi:type="dcterms:W3CDTF">2026-02-27T19:57:50Z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