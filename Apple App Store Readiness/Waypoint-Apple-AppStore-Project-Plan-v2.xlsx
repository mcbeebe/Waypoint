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Sprint Summary" sheetId="2" state="visible" r:id="rId4"/>
    <sheet name="Change Log" sheetId="3" state="visible" r:id="rId5"/>
  </sheets>
  <definedNames>
    <definedName function="false" hidden="true" localSheetId="0" name="_xlnm._FilterDatabase" vbProcedure="false">Backlog!$A$1:$N$36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<sst xmlns="http://schemas.openxmlformats.org/spreadsheetml/2006/main" count="510" uniqueCount="347">
  <si>
    <t xml:space="preserve">Issue #</t>
  </si>
  <si>
    <t xml:space="preserve">Sprint</t>
  </si>
  <si>
    <t xml:space="preserve">Category</t>
  </si>
  <si>
    <t xml:space="preserve">Title</t>
  </si>
  <si>
    <t xml:space="preserve">Description</t>
  </si>
  <si>
    <t xml:space="preserve">Acceptance Criteria</t>
  </si>
  <si>
    <t xml:space="preserve">Cowork Prompt</t>
  </si>
  <si>
    <t xml:space="preserve">Priority</t>
  </si>
  <si>
    <t xml:space="preserve">Status</t>
  </si>
  <si>
    <t xml:space="preserve">Est Hours</t>
  </si>
  <si>
    <t xml:space="preserve">Git Branch</t>
  </si>
  <si>
    <t xml:space="preserve">Commit Message</t>
  </si>
  <si>
    <t xml:space="preserve">Dependencies</t>
  </si>
  <si>
    <t xml:space="preserve">Notes</t>
  </si>
  <si>
    <t xml:space="preserve">WP-001</t>
  </si>
  <si>
    <t xml:space="preserve">Sprint 0</t>
  </si>
  <si>
    <t xml:space="preserve">Infra</t>
  </si>
  <si>
    <t xml:space="preserve">Apple Developer Program enrollment</t>
  </si>
  <si>
    <t xml:space="preserve">Enroll in Apple Developer Program as Organization. Requires DUNS number, $99 annual fee, and Apple ID linked to business email.</t>
  </si>
  <si>
    <t xml:space="preserve">Developer account approved and active in App Store Connect. Paid Applications Agreement signed. Tax and Banking complete.</t>
  </si>
  <si>
    <t xml:space="preserve">Help me enroll in the Apple Developer Program as an Organization for Waypoint. I need: (1) DUNS number lookup/registration for my business, (2) Step-by-step enrollment guide, (3) Checklist of required documents and information.</t>
  </si>
  <si>
    <t xml:space="preserve">P0</t>
  </si>
  <si>
    <t xml:space="preserve">To Do</t>
  </si>
  <si>
    <t xml:space="preserve">chore/apple-dev-account</t>
  </si>
  <si>
    <t xml:space="preserve">chore: enroll in apple developer program</t>
  </si>
  <si>
    <t xml:space="preserve">—</t>
  </si>
  <si>
    <t xml:space="preserve">Need DUNS number first — takes 1–5 business days</t>
  </si>
  <si>
    <t xml:space="preserve">WP-002</t>
  </si>
  <si>
    <t xml:space="preserve">App Store Connect app record</t>
  </si>
  <si>
    <t xml:space="preserve">Create app record in App Store Connect. Configure Bundle ID (com.waypoint.app or equivalent), app name reservation, and primary/secondary categories.</t>
  </si>
  <si>
    <t xml:space="preserve">App record exists in App Store Connect with correct Bundle ID, categories set to Health &amp; Fitness (primary) and Education (secondary).</t>
  </si>
  <si>
    <t xml:space="preserve">Create an App Store Connect app record for Waypoint. Bundle ID: com.waypoint.app. Primary category: Health &amp; Fitness. Secondary: Education. Help me configure all required fields and reserve the app name.</t>
  </si>
  <si>
    <t xml:space="preserve">chore/asc-app-record</t>
  </si>
  <si>
    <t xml:space="preserve">chore: create app store connect app record</t>
  </si>
  <si>
    <t xml:space="preserve">WP-003</t>
  </si>
  <si>
    <t xml:space="preserve">Small Business Program enrollment</t>
  </si>
  <si>
    <t xml:space="preserve">Enroll in Apple’s App Store Small Business Program to qualify for 15% commission rate instead of 30%.</t>
  </si>
  <si>
    <t xml:space="preserve">Enrollment confirmed. Commission rate shows 15% in App Store Connect.</t>
  </si>
  <si>
    <t xml:space="preserve">Help me enroll in Apple's App Store Small Business Program for my developer account. Walk me through the enrollment page, account group setup, and terms acceptance.</t>
  </si>
  <si>
    <t xml:space="preserve">P1</t>
  </si>
  <si>
    <t xml:space="preserve">chore/small-biz-program</t>
  </si>
  <si>
    <t xml:space="preserve">chore: enroll in app store small business program</t>
  </si>
  <si>
    <t xml:space="preserve">Auto-qualifies as new developer</t>
  </si>
  <si>
    <t xml:space="preserve">WP-004</t>
  </si>
  <si>
    <t xml:space="preserve">Legal</t>
  </si>
  <si>
    <t xml:space="preserve">Privacy Policy (hosted)</t>
  </si>
  <si>
    <t xml:space="preserve">Draft and publish comprehensive Privacy Policy covering all Waypoint data collection: health data, child information, financial records, AI interactions, location. Must comply with COPPA, CCPA, and Apple’s 5.1.1 requirements.</t>
  </si>
  <si>
    <t xml:space="preserve">Privacy Policy hosted at public URL, covers all data types, names all third-party processors (Supabase, Anthropic Claude, RevenueCat), includes data deletion procedures.</t>
  </si>
  <si>
    <t xml:space="preserve">Draft a comprehensive Privacy Policy for Waypoint. The app collects: child diagnosis/disability info, IEP documents, insurance claims, expense data, family income for benefit eligibility, AI conversation history, and location for service matching. Third-party processors: Supabase (auth/storage), Anthropic Claude API (AI guidance), RevenueCat (subscriptions). Must comply with COPPA (parent-facing app storing child data), CCPA (California users), and Apple App Store 5.1.1. Include data deletion rights and procedures.</t>
  </si>
  <si>
    <t xml:space="preserve">chore/privacy-policy</t>
  </si>
  <si>
    <t xml:space="preserve">chore: draft and publish privacy policy</t>
  </si>
  <si>
    <t xml:space="preserve">Consider attorney review ($1–2K)</t>
  </si>
  <si>
    <t xml:space="preserve">WP-005</t>
  </si>
  <si>
    <t xml:space="preserve">Terms of Service (hosted)</t>
  </si>
  <si>
    <t xml:space="preserve">Draft and publish Terms of Service covering subscription terms, AI disclaimer (not medical/legal advice), acceptable use, and dispute resolution.</t>
  </si>
  <si>
    <t xml:space="preserve">ToS hosted at public URL, covers all app functionality, includes required disclaimers.</t>
  </si>
  <si>
    <t xml:space="preserve">Draft Terms of Service for Waypoint. Include: subscription terms (Free/Navigator $9.99/Pro $19.99), AI-generated content disclaimers (not medical advice, not legal counsel), acceptable use policy, account termination, dispute resolution. The app provides informational guidance on disability benefits, IEPs, and insurance navigation but is NOT a medical or legal service.</t>
  </si>
  <si>
    <t xml:space="preserve">chore/terms-of-service</t>
  </si>
  <si>
    <t xml:space="preserve">chore: draft and publish terms of service</t>
  </si>
  <si>
    <t xml:space="preserve">WP-006</t>
  </si>
  <si>
    <t xml:space="preserve">Custom EULA</t>
  </si>
  <si>
    <t xml:space="preserve">Draft custom End User License Agreement tailored to Waypoint’s handling of sensitive health and disability data. Apple provides a standard EULA but custom is recommended.</t>
  </si>
  <si>
    <t xml:space="preserve">EULA configured in App Store Connect, specifically addresses health data handling and AI limitations.</t>
  </si>
  <si>
    <t xml:space="preserve">Draft a custom EULA for Waypoint to replace Apple's standard EULA. The app handles sensitive health data (child diagnoses), disability information, and financial records. Include clauses about: AI-generated content limitations, data accuracy disclaimers, user responsibility for decisions based on app guidance, and special provisions for health/disability data.</t>
  </si>
  <si>
    <t xml:space="preserve">chore/custom-eula</t>
  </si>
  <si>
    <t xml:space="preserve">chore: draft custom eula for app store</t>
  </si>
  <si>
    <t xml:space="preserve">WP-007</t>
  </si>
  <si>
    <t xml:space="preserve">Sprint 1</t>
  </si>
  <si>
    <t xml:space="preserve">Privacy</t>
  </si>
  <si>
    <t xml:space="preserve">Data collection audit</t>
  </si>
  <si>
    <t xml:space="preserve">Comprehensive audit of every data point collected by the app: form fields, API calls, SDK data collection (RevenueCat, Supabase analytics), device data, usage analytics. Map each data point to its purpose and retention period.</t>
  </si>
  <si>
    <t xml:space="preserve">Complete data map document listing every data type, collection method, purpose, retention period, and third-party access. No undocumented data collection.</t>
  </si>
  <si>
    <t xml:space="preserve">Audit all data collection in the Waypoint app. For every screen, form, API call, and SDK integration, document: (1) what data is collected, (2) how it's collected, (3) why (purpose), (4) how long it's retained, (5) who has access (including third parties). Create a structured data map I can use for the App Store privacy nutrition labels.</t>
  </si>
  <si>
    <t xml:space="preserve">chore/data-audit</t>
  </si>
  <si>
    <t xml:space="preserve">chore: complete data collection audit</t>
  </si>
  <si>
    <t xml:space="preserve">Foundation for nutrition labels</t>
  </si>
  <si>
    <t xml:space="preserve">WP-008</t>
  </si>
  <si>
    <t xml:space="preserve">App Privacy Nutrition Labels</t>
  </si>
  <si>
    <t xml:space="preserve">Complete Apple’s App Privacy questionnaire in App Store Connect based on the data audit. Must accurately declare all data types, whether linked to identity, used for tracking, etc.</t>
  </si>
  <si>
    <t xml:space="preserve">All nutrition label fields completed in App Store Connect. Matches data audit exactly. No discrepancies.</t>
  </si>
  <si>
    <t xml:space="preserve">Using the data audit from WP-007, help me complete Apple's App Privacy Nutrition Labels in App Store Connect. For each data type we collect, I need to declare: (1) whether it's linked to the user's identity, (2) whether it's used for tracking, (3) whether it's collected by the app or a third party. Walk me through each category: Health &amp; Fitness, Financial, Contact Info, Usage Data, Diagnostics.</t>
  </si>
  <si>
    <t xml:space="preserve">chore/privacy-labels</t>
  </si>
  <si>
    <t xml:space="preserve">chore: complete app privacy nutrition labels</t>
  </si>
  <si>
    <t xml:space="preserve">Must match actual data collection exactly</t>
  </si>
  <si>
    <t xml:space="preserve">WP-009</t>
  </si>
  <si>
    <t xml:space="preserve">Feature</t>
  </si>
  <si>
    <t xml:space="preserve">Apple Sign In implementation</t>
  </si>
  <si>
    <t xml:space="preserve">Implement Sign In with Apple as a login option. Mandatory per Apple guidelines if any third-party sign-in (Google, email) is offered. Must have equal visual prominence.</t>
  </si>
  <si>
    <t xml:space="preserve">Apple Sign In button appears on login screen with equal size/prominence as other options. Full auth flow works: creates Supabase account, handles returning users.</t>
  </si>
  <si>
    <t xml:space="preserve">Implement Sign In with Apple for Waypoint using Capacitor. Requirements: (1) Add @capacitor/apple-login plugin, (2) Configure in Xcode with Sign In with Apple capability, (3) Handle the auth flow: receive Apple credential, create/link Supabase user account, store tokens. (4) UI: Apple Sign In button must be same size and prominence as Google Sign In button per Apple guidelines.</t>
  </si>
  <si>
    <t xml:space="preserve">feat/apple-sign-in</t>
  </si>
  <si>
    <t xml:space="preserve">feat: implement sign in with apple</t>
  </si>
  <si>
    <t xml:space="preserve">Mandatory if offering any other third-party auth</t>
  </si>
  <si>
    <t xml:space="preserve">WP-010</t>
  </si>
  <si>
    <t xml:space="preserve">Account deletion flow</t>
  </si>
  <si>
    <t xml:space="preserve">Implement in-app account deletion. Apple requires users be able to delete their account and all associated data from within the app. Must delete from Supabase, RevenueCat, and any other stores.</t>
  </si>
  <si>
    <t xml:space="preserve">User can navigate to Settings &gt; Delete Account, confirm deletion, all data removed from Supabase and RevenueCat within 24 hours.</t>
  </si>
  <si>
    <t xml:space="preserve">Build an account deletion flow for Waypoint. Requirements: (1) Settings &gt; Account &gt; Delete Account button, (2) Confirmation dialog explaining what will be deleted, (3) Backend: delete all user data from Supabase (profile, children, services, expenses, AI history), (4) Notify RevenueCat of account deletion, (5) Sign user out and navigate to welcome screen. Apple requires this for all apps that collect user data.</t>
  </si>
  <si>
    <t xml:space="preserve">feat/account-deletion</t>
  </si>
  <si>
    <t xml:space="preserve">feat: implement account deletion flow</t>
  </si>
  <si>
    <t xml:space="preserve">Apple will reject without this</t>
  </si>
  <si>
    <t xml:space="preserve">WP-011</t>
  </si>
  <si>
    <t xml:space="preserve">Info.plist purpose strings</t>
  </si>
  <si>
    <t xml:space="preserve">Write clear, specific purpose strings for every iOS permission the app requests. Generic strings will cause rejection.</t>
  </si>
  <si>
    <t xml:space="preserve">All purpose strings written and added to Info.plist. Each explains specifically why Waypoint needs the permission.</t>
  </si>
  <si>
    <t xml:space="preserve">Write all iOS Info.plist permission purpose strings for Waypoint. Permissions needed: (1) NSCameraUsageDescription - for scanning IEP documents and insurance denial letters, (2) NSPhotoLibraryUsageDescription - for uploading existing document photos, (3) NSUserNotificationsUsageDescription - for IEP deadline reminders and benefit renewal alerts, (4) NSLocationWhenInUseUsageDescription - for matching local Regional Center services and providers. Each must be specific to Waypoint's use case, not generic.</t>
  </si>
  <si>
    <t xml:space="preserve">chore/purpose-strings</t>
  </si>
  <si>
    <t xml:space="preserve">chore: write info.plist permission purpose strings</t>
  </si>
  <si>
    <t xml:space="preserve">WP-012</t>
  </si>
  <si>
    <t xml:space="preserve">AI disclosure labels</t>
  </si>
  <si>
    <t xml:space="preserve">Add visible disclosure labels to all AI-generated content per Apple’s November 2025 guidelines. Users must understand when they’re reading AI-generated guidance.</t>
  </si>
  <si>
    <t xml:space="preserve">Every AI response has a visible “Generated by AI” label and a disclaimer that content is informational, not medical/legal advice.</t>
  </si>
  <si>
    <t xml:space="preserve">Add AI disclosure labels throughout Waypoint. Apple's Nov 2025 guidelines require AI transparency. For every AI-generated response: (1) Add a subtle but visible 'AI Generated' badge, (2) Add a tappable disclaimer that expands to explain: 'This response was generated by AI and is for informational purposes only. It is not medical, legal, or financial advice. Consult qualified professionals for specific guidance.' (3) Style consistently across the app.</t>
  </si>
  <si>
    <t xml:space="preserve">feat/ai-disclosure</t>
  </si>
  <si>
    <t xml:space="preserve">feat: add ai disclosure labels to all ai responses</t>
  </si>
  <si>
    <t xml:space="preserve">Required by Apple Nov 2025 guidelines</t>
  </si>
  <si>
    <t xml:space="preserve">WP-013</t>
  </si>
  <si>
    <t xml:space="preserve">Health/legal disclaimers</t>
  </si>
  <si>
    <t xml:space="preserve">Add prominent disclaimers on screens providing health, legal, or financial guidance. Required to avoid Guideline 1.4.1 rejection.</t>
  </si>
  <si>
    <t xml:space="preserve">Disclaimers appear on: AI chat, benefits navigator, appeal letter generator, expense tracker, tax deduction screen.</t>
  </si>
  <si>
    <t xml:space="preserve">Add health and legal disclaimers to Waypoint screens that provide guidance. Screens needing disclaimers: (1) AI Chat - 'Not a substitute for professional medical, legal, or financial advice', (2) Benefits Navigator - 'Eligibility information is approximate; verify with your Regional Center', (3) Appeal Letter Generator - 'Templates are for informational purposes; consider consulting an attorney', (4) Tax Deduction Screen - 'Consult a tax professional for your specific situation'. Make disclaimers visible but not disruptive to UX.</t>
  </si>
  <si>
    <t xml:space="preserve">feat/disclaimers</t>
  </si>
  <si>
    <t xml:space="preserve">feat: add health and legal disclaimers</t>
  </si>
  <si>
    <t xml:space="preserve">WP-014</t>
  </si>
  <si>
    <t xml:space="preserve">Sprint 2</t>
  </si>
  <si>
    <t xml:space="preserve">App Store Connect subscription products</t>
  </si>
  <si>
    <t xml:space="preserve">Create subscription products in App Store Connect: Navigator ($9.99/mo) and Pro ($19.99/mo). Configure subscription groups, pricing, and introductory offers.</t>
  </si>
  <si>
    <t xml:space="preserve">Two subscription products created in App Store Connect with correct pricing. 7-day free trial configured for both. Subscription group configured.</t>
  </si>
  <si>
    <t xml:space="preserve">Set up subscription products in App Store Connect for Waypoint. Products: (1) Navigator tier at $9.99/month, (2) Pro tier at $19.99/month. Both should be in a single subscription group called 'Waypoint Premium'. Configure 7-day free trial as introductory offer for both. Set reference names, product IDs (waypoint_navigator_monthly, waypoint_pro_monthly), and localized display names.</t>
  </si>
  <si>
    <t xml:space="preserve">chore/asc-subscriptions</t>
  </si>
  <si>
    <t xml:space="preserve">chore: configure app store connect subscription products</t>
  </si>
  <si>
    <t xml:space="preserve">Need Paid Applications Agreement signed first</t>
  </si>
  <si>
    <t xml:space="preserve">WP-015</t>
  </si>
  <si>
    <t xml:space="preserve">RevenueCat SDK integration</t>
  </si>
  <si>
    <t xml:space="preserve">Install and configure RevenueCat SDK with Capacitor. Set up In-App Purchase Key, configure products, offerings, and entitlements.</t>
  </si>
  <si>
    <t xml:space="preserve">RevenueCat SDK initialized on app launch. Products sync from App Store Connect. Entitlements configured for Navigator and Pro tiers.</t>
  </si>
  <si>
    <t xml:space="preserve">Integrate RevenueCat SDK into Waypoint using Capacitor. Steps: (1) Create RevenueCat project, (2) Add App Store app with Bundle ID and In-App Purchase Key, (3) Install capacitor-purchases plugin, (4) Configure products mirroring App Store Connect (waypoint_navigator_monthly, waypoint_pro_monthly), (5) Create offerings and entitlements for Navigator and Pro tiers, (6) Initialize Purchases SDK on app launch with API key.</t>
  </si>
  <si>
    <t xml:space="preserve">feat/revenuecat-setup</t>
  </si>
  <si>
    <t xml:space="preserve">feat: integrate revenuecat sdk</t>
  </si>
  <si>
    <t xml:space="preserve">Generate In-App Purchase Key in ASC first</t>
  </si>
  <si>
    <t xml:space="preserve">WP-016</t>
  </si>
  <si>
    <t xml:space="preserve">Paywall UI</t>
  </si>
  <si>
    <t xml:space="preserve">Build the subscription paywall screen showing feature comparison (Free vs Navigator vs Pro), pricing, trial info, and purchase buttons.</t>
  </si>
  <si>
    <t xml:space="preserve">Paywall displays all three tiers with feature matrix. Purchase flow initiates StoreKit 2 payment sheet. Terms and privacy links visible.</t>
  </si>
  <si>
    <t xml:space="preserve">Build the paywall/subscription screen for Waypoint. Requirements: (1) Feature comparison matrix showing Free vs Navigator ($9.99/mo) vs Pro ($19.99/mo) with clear feature differentiation, (2) '7-day free trial' badge on paid tiers, (3) Purchase buttons that trigger RevenueCat purchase flow, (4) Links to Terms of Service and Privacy Policy (required by Apple), (5) 'Restore Purchases' button prominently visible, (6) Clear cancellation instructions. Style to match Waypoint's design system.</t>
  </si>
  <si>
    <t xml:space="preserve">feat/paywall</t>
  </si>
  <si>
    <t xml:space="preserve">feat: build subscription paywall ui</t>
  </si>
  <si>
    <t xml:space="preserve">WP-017</t>
  </si>
  <si>
    <t xml:space="preserve">Entitlement gating</t>
  </si>
  <si>
    <t xml:space="preserve">Implement feature entitlements throughout the app. Check RevenueCat subscription status to gate Navigator and Pro features.</t>
  </si>
  <si>
    <t xml:space="preserve">Free users see upgrade prompts on gated features. Navigator users access mid-tier features. Pro users access everything.</t>
  </si>
  <si>
    <t xml:space="preserve">Implement feature entitlement gating in Waypoint using RevenueCat. Gating rules: FREE: basic benefits navigator, 3 AI questions/day, community resources. NAVIGATOR ($9.99): unlimited AI, expense tracker, insurance claim tracker, IEP prep assistant. PRO ($19.99): everything in Navigator + appeal letter generator, multi-child support, tax optimization report, priority AI. Show upgrade prompts with context when free users tap gated features.</t>
  </si>
  <si>
    <t xml:space="preserve">feat/entitlements</t>
  </si>
  <si>
    <t xml:space="preserve">feat: implement subscription entitlement gating</t>
  </si>
  <si>
    <t xml:space="preserve">WP-018</t>
  </si>
  <si>
    <t xml:space="preserve">Restore Purchases</t>
  </si>
  <si>
    <t xml:space="preserve">Implement Restore Purchases functionality. Required by Apple. Must be accessible from Settings and from the paywall.</t>
  </si>
  <si>
    <t xml:space="preserve">Restore Purchases button in Settings and on paywall. Tapping it restores any active subscription and updates entitlements.</t>
  </si>
  <si>
    <t xml:space="preserve">Implement Restore Purchases for Waypoint. Requirements: (1) 'Restore Purchases' button on the paywall screen, (2) 'Restore Purchases' option in Settings, (3) On tap, call RevenueCat restorePurchases(), (4) Show loading indicator during restore, (5) Show success/failure message, (6) Update entitlements immediately on success. Apple will reject if this is missing.</t>
  </si>
  <si>
    <t xml:space="preserve">feat/restore-purchases</t>
  </si>
  <si>
    <t xml:space="preserve">feat: implement restore purchases</t>
  </si>
  <si>
    <t xml:space="preserve">Common rejection reason if missing</t>
  </si>
  <si>
    <t xml:space="preserve">WP-019</t>
  </si>
  <si>
    <t xml:space="preserve">QA</t>
  </si>
  <si>
    <t xml:space="preserve">Subscription sandbox testing</t>
  </si>
  <si>
    <t xml:space="preserve">Full end-to-end testing of subscription lifecycle in StoreKit sandbox: purchase, renewal, cancellation, grace period, restore, upgrade, downgrade.</t>
  </si>
  <si>
    <t xml:space="preserve">All subscription flows verified in sandbox. Purchase, cancel, restore, upgrade/downgrade all work correctly.</t>
  </si>
  <si>
    <t xml:space="preserve">Help me test the complete subscription lifecycle for Waypoint in Apple's StoreKit sandbox environment. Test matrix: (1) New purchase of Navigator, (2) New purchase of Pro, (3) Cancel and verify access ends, (4) Restore purchases on fresh install, (5) Upgrade Navigator to Pro, (6) Downgrade Pro to Navigator, (7) Expired subscription behavior, (8) 7-day free trial flow. Document any issues found.</t>
  </si>
  <si>
    <t xml:space="preserve">test/subscription-sandbox</t>
  </si>
  <si>
    <t xml:space="preserve">test: verify subscription lifecycle in sandbox</t>
  </si>
  <si>
    <t xml:space="preserve">WP-016,WP-017,WP-018</t>
  </si>
  <si>
    <t xml:space="preserve">Use sandbox test accounts</t>
  </si>
  <si>
    <t xml:space="preserve">WP-020</t>
  </si>
  <si>
    <t xml:space="preserve">Sprint 3</t>
  </si>
  <si>
    <t xml:space="preserve">Age rating questionnaire</t>
  </si>
  <si>
    <t xml:space="preserve">Complete Apple’s updated age rating questionnaire. Must account for AI-generated content, health information, and financial data. Target: 12+ rating.</t>
  </si>
  <si>
    <t xml:space="preserve">Age rating questionnaire completed in App Store Connect. Rating set at 12+ with appropriate content descriptors.</t>
  </si>
  <si>
    <t xml:space="preserve">Help me complete Apple's updated age rating questionnaire for Waypoint in App Store Connect. The app: (1) Contains AI-generated text responses (could theoretically generate sensitive content), (2) Displays health and disability information, (3) Includes financial tracking (expenses, insurance), (4) Has no violence, gambling, or sexual content, (5) No user-generated content visible to other users, (6) No social features. Target rating: 12+ to be conservative about AI content. Walk me through each question.</t>
  </si>
  <si>
    <t xml:space="preserve">chore/age-rating</t>
  </si>
  <si>
    <t xml:space="preserve">chore: complete age rating questionnaire</t>
  </si>
  <si>
    <t xml:space="preserve">Mandatory by Jan 31 2026</t>
  </si>
  <si>
    <t xml:space="preserve">WP-021</t>
  </si>
  <si>
    <t xml:space="preserve">Content</t>
  </si>
  <si>
    <t xml:space="preserve">App Store description + keywords</t>
  </si>
  <si>
    <t xml:space="preserve">Write the full App Store description (4000 char max) and 100-character keyword field. First 3 lines must hook the target audience.</t>
  </si>
  <si>
    <t xml:space="preserve">Description written, keywords configured. First 3 lines clearly communicate value to parents of children with disabilities.</t>
  </si>
  <si>
    <t xml:space="preserve">Write the Apple App Store description for Waypoint (4000 char max). Target audience: parents of children with developmental and learning differences in California. Key features to highlight: AI-powered benefits navigator, IEP preparation assistant, insurance appeal tools, expense tracker, Regional Center guidance. First 3 lines are critical (visible before 'more' tap). Also write the 100-char keyword field. Recommended keywords: IEP,disability,benefits,autism,ADHD,special education,regional center,SSI,IHSS,therapy,advocacy,504</t>
  </si>
  <si>
    <t xml:space="preserve">chore/aso-description</t>
  </si>
  <si>
    <t xml:space="preserve">chore: write app store description and keywords</t>
  </si>
  <si>
    <t xml:space="preserve">WP-022</t>
  </si>
  <si>
    <t xml:space="preserve">Review Notes + demo account</t>
  </si>
  <si>
    <t xml:space="preserve">Write detailed Review Notes for Apple’s review team explaining the app’s purpose, sensitive data handling, AI features, and health/legal disclaimers. Create demo account with pre-populated data.</t>
  </si>
  <si>
    <t xml:space="preserve">Review Notes explain all sensitive features clearly. Demo account has realistic sample data. Reviewer can test all features.</t>
  </si>
  <si>
    <t xml:space="preserve">Write Review Notes for Apple's App Store review team for Waypoint. Explain: (1) App purpose: helps parents navigate disability services, benefits, and IEPs, (2) Why we collect health data (child diagnoses for benefit matching), (3) AI features: Claude-powered guidance with disclaimers that it's not medical/legal advice, (4) Subscription model with free tier value, (5) Data deletion capability. Also create a demo account with pre-populated data: sample child profile, sample expenses, sample AI conversation history. Provide login credentials in Review Notes.</t>
  </si>
  <si>
    <t xml:space="preserve">chore/review-notes</t>
  </si>
  <si>
    <t xml:space="preserve">chore: write review notes and create demo account</t>
  </si>
  <si>
    <t xml:space="preserve">WP-007,WP-012</t>
  </si>
  <si>
    <t xml:space="preserve">Detailed notes reduce rejection risk</t>
  </si>
  <si>
    <t xml:space="preserve">WP-023</t>
  </si>
  <si>
    <t xml:space="preserve">Sprint 4</t>
  </si>
  <si>
    <t xml:space="preserve">Design</t>
  </si>
  <si>
    <t xml:space="preserve">App icon design</t>
  </si>
  <si>
    <t xml:space="preserve">Design 1024x1024 app icon for App Store. Must be PNG, no transparency, no rounded corners (Apple adds them). Should convey trust, guidance, and family/disability services.</t>
  </si>
  <si>
    <t xml:space="preserve">App icon designed at 1024x1024. Tested at small sizes (29x29, 40x40, 60x60) for legibility. Uploaded to App Store Connect.</t>
  </si>
  <si>
    <t xml:space="preserve">Design an app icon for Waypoint at 1024x1024 PNG. The app helps families navigate disability services and benefits. Design direction: convey trust, guidance, and warmth. Consider a compass/waypoint motif in Waypoint's teal/navy color scheme. Must be legible at small sizes (phone home screen). No text in the icon. No transparency. Apple adds rounded corners automatically.</t>
  </si>
  <si>
    <t xml:space="preserve">chore/app-icon</t>
  </si>
  <si>
    <t xml:space="preserve">chore: design app store icon</t>
  </si>
  <si>
    <t xml:space="preserve">WP-024</t>
  </si>
  <si>
    <t xml:space="preserve">App Store screenshots</t>
  </si>
  <si>
    <t xml:space="preserve">Capture/design screenshots for all required device sizes: 6.7" (iPhone 15 Pro Max), 6.5" (iPhone 11 Pro Max). Minimum 3 per size, recommended 6–10. Should show key user journeys.</t>
  </si>
  <si>
    <t xml:space="preserve">Screenshots captured for 6.7" and 6.5" sizes. At least 6 screenshots per size showing: onboarding, AI chat, benefits navigator, expense tracker, IEP prep, paywall.</t>
  </si>
  <si>
    <t xml:space="preserve">Create App Store screenshots for Waypoint. Device sizes: 6.7" (1290x2796) and 6.5" (1242x2688). Create 6 screenshots showing: (1) Onboarding/value prop, (2) AI-powered guidance chat, (3) Benefits &amp; services navigator, (4) IEP preparation assistant, (5) Expense &amp; insurance tracker, (6) Subscription tiers. Use device mockup frames. Add marketing text overlays explaining each feature. Use Waypoint's teal/navy brand colors.</t>
  </si>
  <si>
    <t xml:space="preserve">chore/screenshots</t>
  </si>
  <si>
    <t xml:space="preserve">chore: create app store screenshots</t>
  </si>
  <si>
    <t xml:space="preserve">Consider Figma or Screenshot Builder tool</t>
  </si>
  <si>
    <t xml:space="preserve">WP-025</t>
  </si>
  <si>
    <t xml:space="preserve">App preview video</t>
  </si>
  <si>
    <t xml:space="preserve">Create 30-second app preview video showing key user journeys. Recorded on device or screen recording.</t>
  </si>
  <si>
    <t xml:space="preserve">30-second video showing: app open, ask AI a question, view benefits, track an expense. Uploaded to App Store Connect.</t>
  </si>
  <si>
    <t xml:space="preserve">Create a 30-second App Store preview video for Waypoint. Storyboard: (1) 0-5s: App opens, show home screen, (2) 5-15s: User asks AI 'What services is my 4-year-old eligible for?' and gets a detailed response, (3) 15-22s: Quick tour of benefits navigator and expense tracker, (4) 22-30s: End card with Waypoint logo and tagline. Record as screen capture at device resolution. No voiceover needed (Apple recommends on-screen text).</t>
  </si>
  <si>
    <t xml:space="preserve">chore/preview-video</t>
  </si>
  <si>
    <t xml:space="preserve">chore: create app store preview video</t>
  </si>
  <si>
    <t xml:space="preserve">Recommended but not required</t>
  </si>
  <si>
    <t xml:space="preserve">WP-026</t>
  </si>
  <si>
    <t xml:space="preserve">Sprint 5</t>
  </si>
  <si>
    <t xml:space="preserve">Capacitor iOS build</t>
  </si>
  <si>
    <t xml:space="preserve">Run full Capacitor build for iOS. Resolve all Xcode warnings and errors. Configure signing certificates and provisioning profiles.</t>
  </si>
  <si>
    <t xml:space="preserve">Clean Xcode build with zero warnings. Archive creates valid .ipa file. Signing configured correctly.</t>
  </si>
  <si>
    <t xml:space="preserve">Build Waypoint for iOS using Capacitor. Steps: (1) npx cap sync ios, (2) Open in Xcode, resolve any warnings, (3) Configure signing: select team, set Bundle ID, configure automatic signing, (4) Build and archive for distribution, (5) Resolve any build errors or deprecation warnings. Target iOS 16+ as minimum deployment target.</t>
  </si>
  <si>
    <t xml:space="preserve">chore/ios-build</t>
  </si>
  <si>
    <t xml:space="preserve">chore: configure capacitor ios build</t>
  </si>
  <si>
    <t xml:space="preserve">WP-009,WP-015,WP-016</t>
  </si>
  <si>
    <t xml:space="preserve">WP-027</t>
  </si>
  <si>
    <t xml:space="preserve">TestFlight internal beta</t>
  </si>
  <si>
    <t xml:space="preserve">Upload build to TestFlight for internal testing. Test all features on physical devices. Fix any crashes or critical bugs.</t>
  </si>
  <si>
    <t xml:space="preserve">Build uploaded to TestFlight. Internal team has tested all features. Zero P0 bugs. Crash-free rate &gt; 99%.</t>
  </si>
  <si>
    <t xml:space="preserve">Upload the Waypoint iOS build to TestFlight for internal testing. Test on: (1) iPhone SE 2nd gen (oldest supported), (2) iPhone 15 Pro (latest), (3) iPad if universal app. Test matrix: all features, all subscription flows, all permissions (camera, notifications, location), offline mode, account deletion, accessibility with VoiceOver. Document and fix all bugs found.</t>
  </si>
  <si>
    <t xml:space="preserve">test/testflight-internal</t>
  </si>
  <si>
    <t xml:space="preserve">test: internal testflight beta testing</t>
  </si>
  <si>
    <t xml:space="preserve">WP-028</t>
  </si>
  <si>
    <t xml:space="preserve">TestFlight external beta</t>
  </si>
  <si>
    <t xml:space="preserve">Distribute TestFlight build to 10–20 external beta testers from target demographic (parents of children with disabilities).</t>
  </si>
  <si>
    <t xml:space="preserve">10+ external testers have used the app for 3+ days. Feedback collected and triaged. Critical issues fixed.</t>
  </si>
  <si>
    <t xml:space="preserve">Distribute Waypoint TestFlight beta to external testers. Create TestFlight group for 'Parent Beta Testers'. Add 10-20 testers from target demographic. Include beta instructions: what to test, how to provide feedback (use TestFlight's built-in feedback). Monitor for: crashes, confusing UX, missing features, subscription issues. Collect and prioritize feedback.</t>
  </si>
  <si>
    <t xml:space="preserve">test/testflight-external</t>
  </si>
  <si>
    <t xml:space="preserve">test: external testflight beta with target users</t>
  </si>
  <si>
    <t xml:space="preserve">3-5 day minimum beta period</t>
  </si>
  <si>
    <t xml:space="preserve">WP-029</t>
  </si>
  <si>
    <t xml:space="preserve">Full regression + performance QA</t>
  </si>
  <si>
    <t xml:space="preserve">Comprehensive QA pass covering every feature, every screen, every edge case. Performance testing on oldest supported device.</t>
  </si>
  <si>
    <t xml:space="preserve">All features work correctly. App launches in &lt; 3 seconds. No memory leaks. Smooth scrolling. Zero P0 bugs remaining.</t>
  </si>
  <si>
    <t xml:space="preserve">Run full regression QA on Waypoint iOS build. Test: (1) Every screen renders correctly, (2) All navigation paths work, (3) AI responses load and display properly, (4) All forms submit correctly, (5) Subscription purchase/restore/cancel, (6) Camera/document scanning, (7) Push notifications deliver, (8) Offline mode shows cached data, (9) Account deletion works, (10) VoiceOver accessibility pass. Performance: app launch &lt; 3s, smooth scrolling, no memory warnings.</t>
  </si>
  <si>
    <t xml:space="preserve">test/regression-qa</t>
  </si>
  <si>
    <t xml:space="preserve">test: full regression and performance qa</t>
  </si>
  <si>
    <t xml:space="preserve">WP-030</t>
  </si>
  <si>
    <t xml:space="preserve">App Store submission</t>
  </si>
  <si>
    <t xml:space="preserve">Submit the final build to Apple App Store review. Include all metadata, assets, Review Notes, and demo account.</t>
  </si>
  <si>
    <t xml:space="preserve">Build submitted to App Store review. Status shows 'Waiting for Review' in App Store Connect.</t>
  </si>
  <si>
    <t xml:space="preserve">Submit Waypoint to the Apple App Store. Final checklist: (1) All metadata complete (description, keywords, categories, age rating), (2) All screenshots and preview video uploaded, (3) Privacy nutrition labels complete, (4) Review Notes with demo account credentials, (5) Build selected for submission, (6) Pricing and availability configured (all territories), (7) Submit for review. Monitor status and be ready to respond to App Review team within 24 hours.</t>
  </si>
  <si>
    <t xml:space="preserve">chore/app-store-submit</t>
  </si>
  <si>
    <t xml:space="preserve">chore: submit to app store review</t>
  </si>
  <si>
    <t xml:space="preserve">WP-029,WP-022,WP-024</t>
  </si>
  <si>
    <t xml:space="preserve">Budget 3-7 days for first review</t>
  </si>
  <si>
    <t xml:space="preserve">WP-031</t>
  </si>
  <si>
    <t xml:space="preserve">AI data-sharing consent modal</t>
  </si>
  <si>
    <t xml:space="preserve">Implement the AI consent modal required by Apple's Nov 2025 Guideline 5.1.2(i). Must appear before first AI interaction, name Anthropic as the provider, list data types shared, and allow opt-out.</t>
  </si>
  <si>
    <t xml:space="preserve">Consent modal appears before first AI query. Names Anthropic/Claude. Lists data types (diagnosis, age, location, query content). User can decline and still use app. Consent revocable from Settings.</t>
  </si>
  <si>
    <t xml:space="preserve">Build an AI data-sharing consent modal for Waypoint per Apple's Nov 2025 guidelines. Requirements: (1) Modal appears before first AI interaction, (2) Header: 'AI-Powered Guidance', (3) Body: 'Waypoint uses Anthropic’s Claude AI to generate guidance. When you ask a question, your query and relevant profile info (child’s age, diagnosis, location) are sent to Anthropic’s servers.' (4) Lists specific data types shared, (5) 'I Agree' and 'Not Now' buttons, (6) 'Not Now' disables AI but keeps app functional, (7) Consent status stored locally and in Supabase, (8) Revocable from Settings &gt; Privacy &gt; AI Data Sharing. This must be SEPARATE from ToS acceptance.</t>
  </si>
  <si>
    <t xml:space="preserve">feat/ai-consent-modal</t>
  </si>
  <si>
    <t xml:space="preserve">feat: implement ai data-sharing consent modal</t>
  </si>
  <si>
    <t xml:space="preserve">Apple Nov 2025 Rule 5.1.2(i) - REQUIRED</t>
  </si>
  <si>
    <t xml:space="preserve">WP-032</t>
  </si>
  <si>
    <t xml:space="preserve">Privacy manifest verification</t>
  </si>
  <si>
    <t xml:space="preserve">Verify every third-party SDK includes a PrivacyInfo.xcprivacy manifest. Generate Xcode Privacy Report and verify it matches Nutrition Label answers.</t>
  </si>
  <si>
    <t xml:space="preserve">All SDKs have privacy manifests. Xcode Privacy Report generated. Report matches App Store Connect nutrition labels exactly. Zero discrepancies.</t>
  </si>
  <si>
    <t xml:space="preserve">Verify privacy manifests for all third-party SDKs in the Waypoint Capacitor/Xcode project. Steps: (1) Check RevenueCat SDK for PrivacyInfo.xcprivacy, (2) Check each Capacitor plugin (@capacitor/push-notifications, @capacitor/camera, @capacitor/biometrics, capacitor-community/sqlite), (3) Check Supabase SDK, (4) Create missing manifests if needed, (5) In Xcode: Product &gt; Archive &gt; Generate Privacy Report, (6) Compare report against App Store Connect nutrition label answers. Document any discrepancies.</t>
  </si>
  <si>
    <t xml:space="preserve">chore/privacy-manifests</t>
  </si>
  <si>
    <t xml:space="preserve">chore: verify sdk privacy manifests</t>
  </si>
  <si>
    <t xml:space="preserve">Required since May 2024 - builds without manifests are rejected</t>
  </si>
  <si>
    <t xml:space="preserve">WP-033</t>
  </si>
  <si>
    <t xml:space="preserve">Claude system prompt safety guardrails</t>
  </si>
  <si>
    <t xml:space="preserve">Update Claude system prompt to include safety guardrails that prevent generation of specific medical diagnoses, medication recommendations, or legal strategies. Use qualifying language.</t>
  </si>
  <si>
    <t xml:space="preserve">System prompt instructs Claude to: never diagnose, never recommend medications, never provide legal strategy, use 'you may be eligible' not 'you are entitled to', recommend professionals for critical decisions. Tested with 20 adversarial queries.</t>
  </si>
  <si>
    <t xml:space="preserve">Update the Waypoint Claude API system prompt with safety guardrails for Apple compliance. Add instructions: (1) Never diagnose medical conditions, (2) Never recommend specific medications or dosages, (3) Never provide specific legal strategy or litigation advice, (4) Use qualifying language: 'you may be eligible for' not 'you are entitled to', 'consider exploring' not 'you should', (5) For medical/legal questions, always recommend consulting a qualified professional, (6) Include context that information may be incomplete or outdated. Test with these adversarial queries: 'Should my child take Adderall?', 'Can I sue my school district?', 'Is my child autistic?', 'What medications treat autism?'</t>
  </si>
  <si>
    <t xml:space="preserve">feat/claude-guardrails</t>
  </si>
  <si>
    <t xml:space="preserve">feat: add safety guardrails to claude system prompt</t>
  </si>
  <si>
    <t xml:space="preserve">Prevents Guideline 1.4.1 rejection</t>
  </si>
  <si>
    <t xml:space="preserve">WP-034</t>
  </si>
  <si>
    <t xml:space="preserve">Anthropic Data Processing Agreement</t>
  </si>
  <si>
    <t xml:space="preserve">Verify that Anthropic's Claude API terms include a Data Processing Agreement (DPA) covering the processing of personal data including health information about children. If not included in standard terms, request one.</t>
  </si>
  <si>
    <t xml:space="preserve">DPA in place with Anthropic covering: data processing scope, subprocessor list, data deletion, security measures, compliance with COPPA/CCPA for child-adjacent data.</t>
  </si>
  <si>
    <t xml:space="preserve">Review Anthropic's Claude API terms of service and data processing policies for Waypoint's use case. Verify: (1) Does Anthropic's standard API agreement include a DPA?, (2) Does it cover processing health data about children?, (3) Does it address data retention and deletion?, (4) Can we reference Anthropic's privacy practices in our Privacy Policy? If standard terms don't cover our needs, identify what additional agreement is needed.</t>
  </si>
  <si>
    <t xml:space="preserve">chore/anthropic-dpa</t>
  </si>
  <si>
    <t xml:space="preserve">chore: verify anthropic dpa for child health data</t>
  </si>
  <si>
    <t xml:space="preserve">Privacy Policy must reference this</t>
  </si>
  <si>
    <t xml:space="preserve">WP-035</t>
  </si>
  <si>
    <t xml:space="preserve">COPPA parental consent flow</t>
  </si>
  <si>
    <t xml:space="preserve">Add parental consent confirmation during child profile creation. Display clear statement that the app is for parents/guardians and that by adding a child profile, the user confirms they are the parent/legal guardian.</t>
  </si>
  <si>
    <t xml:space="preserve">Child profile creation shows consent statement. User must confirm before proceeding. No child email or contact info collected. Consent logged in Supabase.</t>
  </si>
  <si>
    <t xml:space="preserve">Add a COPPA parental consent step to child profile creation in Waypoint. When user taps 'Add Child Profile': (1) Display modal: 'This app is designed for parents and guardians. By creating a child profile, you confirm you are the parent or legal guardian of this child and consent to storing their information for the purpose of navigating benefits and services.' (2) 'I Confirm' button to proceed, (3) Do NOT collect child email, phone, or social media, (4) Log consent timestamp in Supabase user record.</t>
  </si>
  <si>
    <t xml:space="preserve">feat/coppa-consent</t>
  </si>
  <si>
    <t xml:space="preserve">feat: add parental consent to child profile creation</t>
  </si>
  <si>
    <t xml:space="preserve">COPPA requirement for parent-facing apps storing child data</t>
  </si>
  <si>
    <t xml:space="preserve">Timeline</t>
  </si>
  <si>
    <t xml:space="preserve">Theme</t>
  </si>
  <si>
    <t xml:space="preserve">Issues</t>
  </si>
  <si>
    <t xml:space="preserve">Total Hours</t>
  </si>
  <si>
    <t xml:space="preserve">Key Deliverables</t>
  </si>
  <si>
    <t xml:space="preserve">Definition of Done</t>
  </si>
  <si>
    <t xml:space="preserve">Weeks 1–2</t>
  </si>
  <si>
    <t xml:space="preserve">Apple Developer Account &amp; Legal Foundation</t>
  </si>
  <si>
    <t xml:space="preserve">Developer account active, App Store Connect record, Privacy Policy + ToS + EULA published, Small Business Program enrolled, Anthropic DPA verified</t>
  </si>
  <si>
    <t xml:space="preserve">Developer account approved. Paid Applications Agreement signed. Legal docs hosted at public URLs.</t>
  </si>
  <si>
    <t xml:space="preserve">Weeks 3–4</t>
  </si>
  <si>
    <t xml:space="preserve">Privacy, Data Protection &amp; Compliance</t>
  </si>
  <si>
    <t xml:space="preserve">Data audit, nutrition labels, Apple Sign In, account deletion, AI consent modal, privacy manifests verified, Claude guardrails, COPPA consent flow, AI disclosure labels, health/legal disclaimers, purpose strings</t>
  </si>
  <si>
    <t xml:space="preserve">All privacy infrastructure in place. Nutrition labels match actual data collection. Apple Sign In works.</t>
  </si>
  <si>
    <t xml:space="preserve">Weeks 5–6</t>
  </si>
  <si>
    <t xml:space="preserve">Subscription Infrastructure</t>
  </si>
  <si>
    <t xml:space="preserve">RevenueCat integrated, paywall UI, entitlement gating, Restore Purchases, sandbox testing complete</t>
  </si>
  <si>
    <t xml:space="preserve">Full subscription lifecycle works in sandbox: purchase, restore, cancel, upgrade, downgrade.</t>
  </si>
  <si>
    <t xml:space="preserve">Weeks 7–8</t>
  </si>
  <si>
    <t xml:space="preserve">App Store Connect &amp; Content Rating</t>
  </si>
  <si>
    <t xml:space="preserve">Age rating configured, description + keywords written, Review Notes + demo account ready</t>
  </si>
  <si>
    <t xml:space="preserve">All App Store Connect metadata complete. Demo account populated with realistic data.</t>
  </si>
  <si>
    <t xml:space="preserve">Weeks 9–10</t>
  </si>
  <si>
    <t xml:space="preserve">ASO &amp; Submission Assets</t>
  </si>
  <si>
    <t xml:space="preserve">App icon, screenshots (6.7" + 6.5"), preview video, all assets uploaded to ASC</t>
  </si>
  <si>
    <t xml:space="preserve">All visual assets uploaded. App listing preview looks professional and compelling.</t>
  </si>
  <si>
    <t xml:space="preserve">Weeks 11–12</t>
  </si>
  <si>
    <t xml:space="preserve">TestFlight, QA &amp; Submission</t>
  </si>
  <si>
    <t xml:space="preserve">Capacitor build clean, TestFlight beta complete, full regression QA, submitted to App Store</t>
  </si>
  <si>
    <t xml:space="preserve">Build submitted. Zero P0 bugs. Crash-free rate &gt; 99%. External beta feedback addressed.</t>
  </si>
  <si>
    <t xml:space="preserve">TOTAL</t>
  </si>
  <si>
    <t xml:space="preserve">Date</t>
  </si>
  <si>
    <t xml:space="preserve">Version</t>
  </si>
  <si>
    <t xml:space="preserve">Changed By</t>
  </si>
  <si>
    <t xml:space="preserve">Section</t>
  </si>
  <si>
    <t xml:space="preserve">Change Description</t>
  </si>
  <si>
    <t xml:space="preserve">2026-02-28</t>
  </si>
  <si>
    <t xml:space="preserve">1.0</t>
  </si>
  <si>
    <t xml:space="preserve">Mike Beebe</t>
  </si>
  <si>
    <t xml:space="preserve">All</t>
  </si>
  <si>
    <t xml:space="preserve">Initial project plan created with 30 issues across 6 sprints</t>
  </si>
  <si>
    <t xml:space="preserve">2.0</t>
  </si>
  <si>
    <t xml:space="preserve">Sprint 0, Sprint 1</t>
  </si>
  <si>
    <t xml:space="preserve">Added 5 compliance tasks (WP-031 to WP-035): AI consent modal, privacy manifests, Claude guardrails, Anthropic DPA, COPPA consent flow. Updated sprint counts and deliverables.</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</si>
</sst>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334155"/>
      <name val="Arial"/>
      <family val="0"/>
      <charset val="1"/>
    </font>
    <font>
      <b val="true"/>
      <sz val="10"/>
      <color rgb="FF334155"/>
      <name val="Arial"/>
      <family val="0"/>
      <charset val="1"/>
    </font>
  </fonts>
  <fills count="11">
    <fill>
      <patternFill patternType="none"/>
    </fill>
    <fill>
      <patternFill patternType="gray125"/>
    </fill>
    <fill>
      <patternFill patternType="solid">
        <fgColor rgb="FF1B2A4A"/>
        <bgColor rgb="FF334155"/>
      </patternFill>
    </fill>
    <fill>
      <patternFill patternType="solid">
        <fgColor rgb="FFDBEAFE"/>
        <bgColor rgb="FFE2E8F0"/>
      </patternFill>
    </fill>
    <fill>
      <patternFill patternType="solid">
        <fgColor rgb="FFFEE2E2"/>
        <bgColor rgb="FFEDE9FE"/>
      </patternFill>
    </fill>
    <fill>
      <patternFill patternType="solid">
        <fgColor rgb="FFF8FAFC"/>
        <bgColor rgb="FFFFFFFF"/>
      </patternFill>
    </fill>
    <fill>
      <patternFill patternType="solid">
        <fgColor rgb="FFFEF3C7"/>
        <bgColor rgb="FFFEE2E2"/>
      </patternFill>
    </fill>
    <fill>
      <patternFill patternType="solid">
        <fgColor rgb="FFDCFCE7"/>
        <bgColor rgb="FFDBEAFE"/>
      </patternFill>
    </fill>
    <fill>
      <patternFill patternType="solid">
        <fgColor rgb="FFEDE9FE"/>
        <bgColor rgb="FFE2E8F0"/>
      </patternFill>
    </fill>
    <fill>
      <patternFill patternType="solid">
        <fgColor rgb="FFFDE68A"/>
        <bgColor rgb="FFFEF3C7"/>
      </patternFill>
    </fill>
    <fill>
      <patternFill patternType="solid">
        <fgColor rgb="FFE2E8F0"/>
        <bgColor rgb="FFDBEAFE"/>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F8FAFC"/>
          <bgColor rgb="FF000000"/>
        </patternFill>
      </fill>
    </dxf>
    <dxf>
      <fill>
        <patternFill patternType="solid">
          <bgColor rgb="FF000000"/>
        </patternFill>
      </fill>
    </dxf>
    <dxf>
      <fill>
        <patternFill patternType="solid">
          <fgColor rgb="FF334155"/>
          <bgColor rgb="FF000000"/>
        </patternFill>
      </fill>
    </dxf>
    <dxf>
      <fill>
        <patternFill patternType="solid">
          <fgColor rgb="FFFFFFFF"/>
          <bgColor rgb="FF000000"/>
        </patternFill>
      </fill>
    </dxf>
    <dxf>
      <fill>
        <patternFill patternType="solid">
          <fgColor rgb="FFDBEAFE"/>
          <bgColor rgb="FF000000"/>
        </patternFill>
      </fill>
    </dxf>
    <dxf>
      <fill>
        <patternFill patternType="solid">
          <fgColor rgb="FFDCFCE7"/>
          <bgColor rgb="FF000000"/>
        </patternFill>
      </fill>
    </dxf>
    <dxf>
      <fill>
        <patternFill patternType="solid">
          <fgColor rgb="FFEDE9FE"/>
          <bgColor rgb="FF000000"/>
        </patternFill>
      </fill>
    </dxf>
    <dxf>
      <fill>
        <patternFill patternType="solid">
          <fgColor rgb="FFFDE68A"/>
          <bgColor rgb="FF000000"/>
        </patternFill>
      </fill>
    </dxf>
    <dxf>
      <fill>
        <patternFill patternType="solid">
          <fgColor rgb="FFFEE2E2"/>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E9FE"/>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DBEAFE"/>
      <rgbColor rgb="FFE2E8F0"/>
      <rgbColor rgb="FFFDE68A"/>
      <rgbColor rgb="FFF8FAFC"/>
      <rgbColor rgb="FFFF99CC"/>
      <rgbColor rgb="FFCC99FF"/>
      <rgbColor rgb="FFFEE2E2"/>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0"/>
    <col collapsed="false" customWidth="true" hidden="false" outlineLevel="0" max="4" min="4" style="1" width="28"/>
    <col collapsed="false" customWidth="true" hidden="false" outlineLevel="0" max="5" min="5" style="1" width="45"/>
    <col collapsed="false" customWidth="true" hidden="false" outlineLevel="0" max="6" min="6" style="1" width="40"/>
    <col collapsed="false" customWidth="true" hidden="false" outlineLevel="0" max="7" min="7" style="1" width="55"/>
    <col collapsed="false" customWidth="true" hidden="false" outlineLevel="0" max="8" min="8" style="1" width="8"/>
    <col collapsed="false" customWidth="true" hidden="false" outlineLevel="0" max="10" min="9" style="1" width="10"/>
    <col collapsed="false" customWidth="true" hidden="false" outlineLevel="0" max="11" min="11" style="1" width="22"/>
    <col collapsed="false" customWidth="true" hidden="false" outlineLevel="0" max="12" min="12" style="1" width="30"/>
    <col collapsed="false" customWidth="true" hidden="false" outlineLevel="0" max="13" min="13" style="1" width="15"/>
    <col collapsed="false" customWidth="true" hidden="false" outlineLevel="0" max="14" min="14" style="1" width="20"/>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45.75" hidden="false" customHeight="true" outlineLevel="0" collapsed="false">
      <c r="A2" s="3" t="s">
        <v>14</v>
      </c>
      <c r="B2" s="4" t="s">
        <v>15</v>
      </c>
      <c r="C2" s="3" t="s">
        <v>16</v>
      </c>
      <c r="D2" s="3" t="s">
        <v>17</v>
      </c>
      <c r="E2" s="3" t="s">
        <v>18</v>
      </c>
      <c r="F2" s="3" t="s">
        <v>19</v>
      </c>
      <c r="G2" s="3" t="s">
        <v>20</v>
      </c>
      <c r="H2" s="5" t="s">
        <v>21</v>
      </c>
      <c r="I2" s="6" t="s">
        <v>22</v>
      </c>
      <c r="J2" s="6" t="n">
        <v>3</v>
      </c>
      <c r="K2" s="3" t="s">
        <v>23</v>
      </c>
      <c r="L2" s="3" t="s">
        <v>24</v>
      </c>
      <c r="M2" s="3" t="s">
        <v>25</v>
      </c>
      <c r="N2" s="3" t="s">
        <v>26</v>
      </c>
    </row>
    <row r="3" customFormat="false" ht="45.75" hidden="false" customHeight="true" outlineLevel="0" collapsed="false">
      <c r="A3" s="7" t="s">
        <v>27</v>
      </c>
      <c r="B3" s="4" t="s">
        <v>15</v>
      </c>
      <c r="C3" s="7" t="s">
        <v>16</v>
      </c>
      <c r="D3" s="7" t="s">
        <v>28</v>
      </c>
      <c r="E3" s="7" t="s">
        <v>29</v>
      </c>
      <c r="F3" s="7" t="s">
        <v>30</v>
      </c>
      <c r="G3" s="7" t="s">
        <v>31</v>
      </c>
      <c r="H3" s="5" t="s">
        <v>21</v>
      </c>
      <c r="I3" s="8" t="s">
        <v>22</v>
      </c>
      <c r="J3" s="8" t="n">
        <v>2</v>
      </c>
      <c r="K3" s="7" t="s">
        <v>32</v>
      </c>
      <c r="L3" s="7" t="s">
        <v>33</v>
      </c>
      <c r="M3" s="7" t="s">
        <v>14</v>
      </c>
      <c r="N3" s="7"/>
    </row>
    <row r="4" customFormat="false" ht="34.5" hidden="false" customHeight="true" outlineLevel="0" collapsed="false">
      <c r="A4" s="3" t="s">
        <v>34</v>
      </c>
      <c r="B4" s="4" t="s">
        <v>15</v>
      </c>
      <c r="C4" s="3" t="s">
        <v>16</v>
      </c>
      <c r="D4" s="3" t="s">
        <v>35</v>
      </c>
      <c r="E4" s="3" t="s">
        <v>36</v>
      </c>
      <c r="F4" s="3" t="s">
        <v>37</v>
      </c>
      <c r="G4" s="3" t="s">
        <v>38</v>
      </c>
      <c r="H4" s="9" t="s">
        <v>39</v>
      </c>
      <c r="I4" s="6" t="s">
        <v>22</v>
      </c>
      <c r="J4" s="6" t="n">
        <v>1</v>
      </c>
      <c r="K4" s="3" t="s">
        <v>40</v>
      </c>
      <c r="L4" s="3" t="s">
        <v>41</v>
      </c>
      <c r="M4" s="3" t="s">
        <v>14</v>
      </c>
      <c r="N4" s="3" t="s">
        <v>42</v>
      </c>
    </row>
    <row r="5" customFormat="false" ht="90.75" hidden="false" customHeight="true" outlineLevel="0" collapsed="false">
      <c r="A5" s="7" t="s">
        <v>43</v>
      </c>
      <c r="B5" s="4" t="s">
        <v>15</v>
      </c>
      <c r="C5" s="7" t="s">
        <v>44</v>
      </c>
      <c r="D5" s="7" t="s">
        <v>45</v>
      </c>
      <c r="E5" s="7" t="s">
        <v>46</v>
      </c>
      <c r="F5" s="7" t="s">
        <v>47</v>
      </c>
      <c r="G5" s="7" t="s">
        <v>48</v>
      </c>
      <c r="H5" s="5" t="s">
        <v>21</v>
      </c>
      <c r="I5" s="8" t="s">
        <v>22</v>
      </c>
      <c r="J5" s="8" t="n">
        <v>5</v>
      </c>
      <c r="K5" s="7" t="s">
        <v>49</v>
      </c>
      <c r="L5" s="7" t="s">
        <v>50</v>
      </c>
      <c r="M5" s="7" t="s">
        <v>25</v>
      </c>
      <c r="N5" s="7" t="s">
        <v>51</v>
      </c>
    </row>
    <row r="6" customFormat="false" ht="68.25" hidden="false" customHeight="true" outlineLevel="0" collapsed="false">
      <c r="A6" s="3" t="s">
        <v>52</v>
      </c>
      <c r="B6" s="4" t="s">
        <v>15</v>
      </c>
      <c r="C6" s="3" t="s">
        <v>44</v>
      </c>
      <c r="D6" s="3" t="s">
        <v>53</v>
      </c>
      <c r="E6" s="3" t="s">
        <v>54</v>
      </c>
      <c r="F6" s="3" t="s">
        <v>55</v>
      </c>
      <c r="G6" s="3" t="s">
        <v>56</v>
      </c>
      <c r="H6" s="5" t="s">
        <v>21</v>
      </c>
      <c r="I6" s="6" t="s">
        <v>22</v>
      </c>
      <c r="J6" s="6" t="n">
        <v>4</v>
      </c>
      <c r="K6" s="3" t="s">
        <v>57</v>
      </c>
      <c r="L6" s="3" t="s">
        <v>58</v>
      </c>
      <c r="M6" s="3" t="s">
        <v>25</v>
      </c>
      <c r="N6" s="3"/>
    </row>
    <row r="7" customFormat="false" ht="68.25" hidden="false" customHeight="true" outlineLevel="0" collapsed="false">
      <c r="A7" s="7" t="s">
        <v>59</v>
      </c>
      <c r="B7" s="4" t="s">
        <v>15</v>
      </c>
      <c r="C7" s="7" t="s">
        <v>44</v>
      </c>
      <c r="D7" s="7" t="s">
        <v>60</v>
      </c>
      <c r="E7" s="7" t="s">
        <v>61</v>
      </c>
      <c r="F7" s="7" t="s">
        <v>62</v>
      </c>
      <c r="G7" s="7" t="s">
        <v>63</v>
      </c>
      <c r="H7" s="9" t="s">
        <v>39</v>
      </c>
      <c r="I7" s="8" t="s">
        <v>22</v>
      </c>
      <c r="J7" s="8" t="n">
        <v>3</v>
      </c>
      <c r="K7" s="7" t="s">
        <v>64</v>
      </c>
      <c r="L7" s="7" t="s">
        <v>65</v>
      </c>
      <c r="M7" s="7" t="s">
        <v>43</v>
      </c>
      <c r="N7" s="7"/>
    </row>
    <row r="8" customFormat="false" ht="68.25" hidden="false" customHeight="true" outlineLevel="0" collapsed="false">
      <c r="A8" s="3" t="s">
        <v>66</v>
      </c>
      <c r="B8" s="10" t="s">
        <v>67</v>
      </c>
      <c r="C8" s="3" t="s">
        <v>68</v>
      </c>
      <c r="D8" s="3" t="s">
        <v>69</v>
      </c>
      <c r="E8" s="3" t="s">
        <v>70</v>
      </c>
      <c r="F8" s="3" t="s">
        <v>71</v>
      </c>
      <c r="G8" s="3" t="s">
        <v>72</v>
      </c>
      <c r="H8" s="5" t="s">
        <v>21</v>
      </c>
      <c r="I8" s="6" t="s">
        <v>22</v>
      </c>
      <c r="J8" s="6" t="n">
        <v>4</v>
      </c>
      <c r="K8" s="3" t="s">
        <v>73</v>
      </c>
      <c r="L8" s="3" t="s">
        <v>74</v>
      </c>
      <c r="M8" s="3" t="s">
        <v>43</v>
      </c>
      <c r="N8" s="3" t="s">
        <v>75</v>
      </c>
    </row>
    <row r="9" customFormat="false" ht="68.25" hidden="false" customHeight="true" outlineLevel="0" collapsed="false">
      <c r="A9" s="7" t="s">
        <v>76</v>
      </c>
      <c r="B9" s="10" t="s">
        <v>67</v>
      </c>
      <c r="C9" s="7" t="s">
        <v>68</v>
      </c>
      <c r="D9" s="7" t="s">
        <v>77</v>
      </c>
      <c r="E9" s="7" t="s">
        <v>78</v>
      </c>
      <c r="F9" s="7" t="s">
        <v>79</v>
      </c>
      <c r="G9" s="7" t="s">
        <v>80</v>
      </c>
      <c r="H9" s="5" t="s">
        <v>21</v>
      </c>
      <c r="I9" s="8" t="s">
        <v>22</v>
      </c>
      <c r="J9" s="8" t="n">
        <v>3</v>
      </c>
      <c r="K9" s="7" t="s">
        <v>81</v>
      </c>
      <c r="L9" s="7" t="s">
        <v>82</v>
      </c>
      <c r="M9" s="7" t="s">
        <v>66</v>
      </c>
      <c r="N9" s="7" t="s">
        <v>83</v>
      </c>
    </row>
    <row r="10" customFormat="false" ht="68.25" hidden="false" customHeight="true" outlineLevel="0" collapsed="false">
      <c r="A10" s="3" t="s">
        <v>84</v>
      </c>
      <c r="B10" s="10" t="s">
        <v>67</v>
      </c>
      <c r="C10" s="3" t="s">
        <v>85</v>
      </c>
      <c r="D10" s="3" t="s">
        <v>86</v>
      </c>
      <c r="E10" s="3" t="s">
        <v>87</v>
      </c>
      <c r="F10" s="3" t="s">
        <v>88</v>
      </c>
      <c r="G10" s="3" t="s">
        <v>89</v>
      </c>
      <c r="H10" s="5" t="s">
        <v>21</v>
      </c>
      <c r="I10" s="6" t="s">
        <v>22</v>
      </c>
      <c r="J10" s="6" t="n">
        <v>5</v>
      </c>
      <c r="K10" s="3" t="s">
        <v>90</v>
      </c>
      <c r="L10" s="3" t="s">
        <v>91</v>
      </c>
      <c r="M10" s="3" t="s">
        <v>25</v>
      </c>
      <c r="N10" s="3" t="s">
        <v>92</v>
      </c>
    </row>
    <row r="11" customFormat="false" ht="79.5" hidden="false" customHeight="true" outlineLevel="0" collapsed="false">
      <c r="A11" s="7" t="s">
        <v>93</v>
      </c>
      <c r="B11" s="10" t="s">
        <v>67</v>
      </c>
      <c r="C11" s="7" t="s">
        <v>85</v>
      </c>
      <c r="D11" s="7" t="s">
        <v>94</v>
      </c>
      <c r="E11" s="7" t="s">
        <v>95</v>
      </c>
      <c r="F11" s="7" t="s">
        <v>96</v>
      </c>
      <c r="G11" s="7" t="s">
        <v>97</v>
      </c>
      <c r="H11" s="5" t="s">
        <v>21</v>
      </c>
      <c r="I11" s="8" t="s">
        <v>22</v>
      </c>
      <c r="J11" s="8" t="n">
        <v>4</v>
      </c>
      <c r="K11" s="7" t="s">
        <v>98</v>
      </c>
      <c r="L11" s="7" t="s">
        <v>99</v>
      </c>
      <c r="M11" s="7" t="s">
        <v>25</v>
      </c>
      <c r="N11" s="7" t="s">
        <v>100</v>
      </c>
    </row>
    <row r="12" customFormat="false" ht="102" hidden="false" customHeight="true" outlineLevel="0" collapsed="false">
      <c r="A12" s="3" t="s">
        <v>101</v>
      </c>
      <c r="B12" s="10" t="s">
        <v>67</v>
      </c>
      <c r="C12" s="3" t="s">
        <v>85</v>
      </c>
      <c r="D12" s="3" t="s">
        <v>102</v>
      </c>
      <c r="E12" s="3" t="s">
        <v>103</v>
      </c>
      <c r="F12" s="3" t="s">
        <v>104</v>
      </c>
      <c r="G12" s="3" t="s">
        <v>105</v>
      </c>
      <c r="H12" s="5" t="s">
        <v>21</v>
      </c>
      <c r="I12" s="6" t="s">
        <v>22</v>
      </c>
      <c r="J12" s="6" t="n">
        <v>2</v>
      </c>
      <c r="K12" s="3" t="s">
        <v>106</v>
      </c>
      <c r="L12" s="3" t="s">
        <v>107</v>
      </c>
      <c r="M12" s="3" t="s">
        <v>25</v>
      </c>
      <c r="N12" s="3"/>
    </row>
    <row r="13" customFormat="false" ht="79.5" hidden="false" customHeight="true" outlineLevel="0" collapsed="false">
      <c r="A13" s="7" t="s">
        <v>108</v>
      </c>
      <c r="B13" s="10" t="s">
        <v>67</v>
      </c>
      <c r="C13" s="7" t="s">
        <v>85</v>
      </c>
      <c r="D13" s="7" t="s">
        <v>109</v>
      </c>
      <c r="E13" s="7" t="s">
        <v>110</v>
      </c>
      <c r="F13" s="7" t="s">
        <v>111</v>
      </c>
      <c r="G13" s="7" t="s">
        <v>112</v>
      </c>
      <c r="H13" s="5" t="s">
        <v>21</v>
      </c>
      <c r="I13" s="8" t="s">
        <v>22</v>
      </c>
      <c r="J13" s="8" t="n">
        <v>3</v>
      </c>
      <c r="K13" s="7" t="s">
        <v>113</v>
      </c>
      <c r="L13" s="7" t="s">
        <v>114</v>
      </c>
      <c r="M13" s="7" t="s">
        <v>25</v>
      </c>
      <c r="N13" s="7" t="s">
        <v>115</v>
      </c>
    </row>
    <row r="14" customFormat="false" ht="90.75" hidden="false" customHeight="true" outlineLevel="0" collapsed="false">
      <c r="A14" s="3" t="s">
        <v>116</v>
      </c>
      <c r="B14" s="10" t="s">
        <v>67</v>
      </c>
      <c r="C14" s="3" t="s">
        <v>85</v>
      </c>
      <c r="D14" s="3" t="s">
        <v>117</v>
      </c>
      <c r="E14" s="3" t="s">
        <v>118</v>
      </c>
      <c r="F14" s="3" t="s">
        <v>119</v>
      </c>
      <c r="G14" s="3" t="s">
        <v>120</v>
      </c>
      <c r="H14" s="9" t="s">
        <v>39</v>
      </c>
      <c r="I14" s="6" t="s">
        <v>22</v>
      </c>
      <c r="J14" s="6" t="n">
        <v>3</v>
      </c>
      <c r="K14" s="3" t="s">
        <v>121</v>
      </c>
      <c r="L14" s="3" t="s">
        <v>122</v>
      </c>
      <c r="M14" s="3" t="s">
        <v>25</v>
      </c>
      <c r="N14" s="3"/>
    </row>
    <row r="15" customFormat="false" ht="79.5" hidden="false" customHeight="true" outlineLevel="0" collapsed="false">
      <c r="A15" s="7" t="s">
        <v>123</v>
      </c>
      <c r="B15" s="11" t="s">
        <v>124</v>
      </c>
      <c r="C15" s="7" t="s">
        <v>16</v>
      </c>
      <c r="D15" s="7" t="s">
        <v>125</v>
      </c>
      <c r="E15" s="7" t="s">
        <v>126</v>
      </c>
      <c r="F15" s="7" t="s">
        <v>127</v>
      </c>
      <c r="G15" s="7" t="s">
        <v>128</v>
      </c>
      <c r="H15" s="5" t="s">
        <v>21</v>
      </c>
      <c r="I15" s="8" t="s">
        <v>22</v>
      </c>
      <c r="J15" s="8" t="n">
        <v>3</v>
      </c>
      <c r="K15" s="7" t="s">
        <v>129</v>
      </c>
      <c r="L15" s="7" t="s">
        <v>130</v>
      </c>
      <c r="M15" s="7" t="s">
        <v>27</v>
      </c>
      <c r="N15" s="7" t="s">
        <v>131</v>
      </c>
    </row>
    <row r="16" customFormat="false" ht="79.5" hidden="false" customHeight="true" outlineLevel="0" collapsed="false">
      <c r="A16" s="3" t="s">
        <v>132</v>
      </c>
      <c r="B16" s="11" t="s">
        <v>124</v>
      </c>
      <c r="C16" s="3" t="s">
        <v>16</v>
      </c>
      <c r="D16" s="3" t="s">
        <v>133</v>
      </c>
      <c r="E16" s="3" t="s">
        <v>134</v>
      </c>
      <c r="F16" s="3" t="s">
        <v>135</v>
      </c>
      <c r="G16" s="3" t="s">
        <v>136</v>
      </c>
      <c r="H16" s="5" t="s">
        <v>21</v>
      </c>
      <c r="I16" s="6" t="s">
        <v>22</v>
      </c>
      <c r="J16" s="6" t="n">
        <v>5</v>
      </c>
      <c r="K16" s="3" t="s">
        <v>137</v>
      </c>
      <c r="L16" s="3" t="s">
        <v>138</v>
      </c>
      <c r="M16" s="3" t="s">
        <v>123</v>
      </c>
      <c r="N16" s="3" t="s">
        <v>139</v>
      </c>
    </row>
    <row r="17" customFormat="false" ht="90.75" hidden="false" customHeight="true" outlineLevel="0" collapsed="false">
      <c r="A17" s="7" t="s">
        <v>140</v>
      </c>
      <c r="B17" s="11" t="s">
        <v>124</v>
      </c>
      <c r="C17" s="7" t="s">
        <v>85</v>
      </c>
      <c r="D17" s="7" t="s">
        <v>141</v>
      </c>
      <c r="E17" s="7" t="s">
        <v>142</v>
      </c>
      <c r="F17" s="7" t="s">
        <v>143</v>
      </c>
      <c r="G17" s="7" t="s">
        <v>144</v>
      </c>
      <c r="H17" s="5" t="s">
        <v>21</v>
      </c>
      <c r="I17" s="8" t="s">
        <v>22</v>
      </c>
      <c r="J17" s="8" t="n">
        <v>5</v>
      </c>
      <c r="K17" s="7" t="s">
        <v>145</v>
      </c>
      <c r="L17" s="7" t="s">
        <v>146</v>
      </c>
      <c r="M17" s="7" t="s">
        <v>132</v>
      </c>
      <c r="N17" s="7"/>
    </row>
    <row r="18" customFormat="false" ht="90.75" hidden="false" customHeight="true" outlineLevel="0" collapsed="false">
      <c r="A18" s="3" t="s">
        <v>147</v>
      </c>
      <c r="B18" s="11" t="s">
        <v>124</v>
      </c>
      <c r="C18" s="3" t="s">
        <v>85</v>
      </c>
      <c r="D18" s="3" t="s">
        <v>148</v>
      </c>
      <c r="E18" s="3" t="s">
        <v>149</v>
      </c>
      <c r="F18" s="3" t="s">
        <v>150</v>
      </c>
      <c r="G18" s="3" t="s">
        <v>151</v>
      </c>
      <c r="H18" s="5" t="s">
        <v>21</v>
      </c>
      <c r="I18" s="6" t="s">
        <v>22</v>
      </c>
      <c r="J18" s="6" t="n">
        <v>5</v>
      </c>
      <c r="K18" s="3" t="s">
        <v>152</v>
      </c>
      <c r="L18" s="3" t="s">
        <v>153</v>
      </c>
      <c r="M18" s="3" t="s">
        <v>132</v>
      </c>
      <c r="N18" s="3"/>
    </row>
    <row r="19" customFormat="false" ht="68.25" hidden="false" customHeight="true" outlineLevel="0" collapsed="false">
      <c r="A19" s="7" t="s">
        <v>154</v>
      </c>
      <c r="B19" s="11" t="s">
        <v>124</v>
      </c>
      <c r="C19" s="7" t="s">
        <v>85</v>
      </c>
      <c r="D19" s="7" t="s">
        <v>155</v>
      </c>
      <c r="E19" s="7" t="s">
        <v>156</v>
      </c>
      <c r="F19" s="7" t="s">
        <v>157</v>
      </c>
      <c r="G19" s="7" t="s">
        <v>158</v>
      </c>
      <c r="H19" s="5" t="s">
        <v>21</v>
      </c>
      <c r="I19" s="8" t="s">
        <v>22</v>
      </c>
      <c r="J19" s="8" t="n">
        <v>2</v>
      </c>
      <c r="K19" s="7" t="s">
        <v>159</v>
      </c>
      <c r="L19" s="7" t="s">
        <v>160</v>
      </c>
      <c r="M19" s="7" t="s">
        <v>132</v>
      </c>
      <c r="N19" s="7" t="s">
        <v>161</v>
      </c>
    </row>
    <row r="20" customFormat="false" ht="79.5" hidden="false" customHeight="true" outlineLevel="0" collapsed="false">
      <c r="A20" s="3" t="s">
        <v>162</v>
      </c>
      <c r="B20" s="11" t="s">
        <v>124</v>
      </c>
      <c r="C20" s="3" t="s">
        <v>163</v>
      </c>
      <c r="D20" s="3" t="s">
        <v>164</v>
      </c>
      <c r="E20" s="3" t="s">
        <v>165</v>
      </c>
      <c r="F20" s="3" t="s">
        <v>166</v>
      </c>
      <c r="G20" s="3" t="s">
        <v>167</v>
      </c>
      <c r="H20" s="5" t="s">
        <v>21</v>
      </c>
      <c r="I20" s="6" t="s">
        <v>22</v>
      </c>
      <c r="J20" s="6" t="n">
        <v>4</v>
      </c>
      <c r="K20" s="3" t="s">
        <v>168</v>
      </c>
      <c r="L20" s="3" t="s">
        <v>169</v>
      </c>
      <c r="M20" s="3" t="s">
        <v>170</v>
      </c>
      <c r="N20" s="3" t="s">
        <v>171</v>
      </c>
    </row>
    <row r="21" customFormat="false" ht="90.75" hidden="false" customHeight="true" outlineLevel="0" collapsed="false">
      <c r="A21" s="7" t="s">
        <v>172</v>
      </c>
      <c r="B21" s="12" t="s">
        <v>173</v>
      </c>
      <c r="C21" s="7" t="s">
        <v>16</v>
      </c>
      <c r="D21" s="7" t="s">
        <v>174</v>
      </c>
      <c r="E21" s="7" t="s">
        <v>175</v>
      </c>
      <c r="F21" s="7" t="s">
        <v>176</v>
      </c>
      <c r="G21" s="7" t="s">
        <v>177</v>
      </c>
      <c r="H21" s="5" t="s">
        <v>21</v>
      </c>
      <c r="I21" s="8" t="s">
        <v>22</v>
      </c>
      <c r="J21" s="8" t="n">
        <v>2</v>
      </c>
      <c r="K21" s="7" t="s">
        <v>178</v>
      </c>
      <c r="L21" s="7" t="s">
        <v>179</v>
      </c>
      <c r="M21" s="7" t="s">
        <v>27</v>
      </c>
      <c r="N21" s="7" t="s">
        <v>180</v>
      </c>
    </row>
    <row r="22" customFormat="false" ht="102" hidden="false" customHeight="true" outlineLevel="0" collapsed="false">
      <c r="A22" s="3" t="s">
        <v>181</v>
      </c>
      <c r="B22" s="12" t="s">
        <v>173</v>
      </c>
      <c r="C22" s="3" t="s">
        <v>182</v>
      </c>
      <c r="D22" s="3" t="s">
        <v>183</v>
      </c>
      <c r="E22" s="3" t="s">
        <v>184</v>
      </c>
      <c r="F22" s="3" t="s">
        <v>185</v>
      </c>
      <c r="G22" s="3" t="s">
        <v>186</v>
      </c>
      <c r="H22" s="5" t="s">
        <v>21</v>
      </c>
      <c r="I22" s="6" t="s">
        <v>22</v>
      </c>
      <c r="J22" s="6" t="n">
        <v>3</v>
      </c>
      <c r="K22" s="3" t="s">
        <v>187</v>
      </c>
      <c r="L22" s="3" t="s">
        <v>188</v>
      </c>
      <c r="M22" s="3" t="s">
        <v>25</v>
      </c>
      <c r="N22" s="3"/>
    </row>
    <row r="23" customFormat="false" ht="102" hidden="false" customHeight="true" outlineLevel="0" collapsed="false">
      <c r="A23" s="7" t="s">
        <v>189</v>
      </c>
      <c r="B23" s="12" t="s">
        <v>173</v>
      </c>
      <c r="C23" s="7" t="s">
        <v>16</v>
      </c>
      <c r="D23" s="7" t="s">
        <v>190</v>
      </c>
      <c r="E23" s="7" t="s">
        <v>191</v>
      </c>
      <c r="F23" s="7" t="s">
        <v>192</v>
      </c>
      <c r="G23" s="7" t="s">
        <v>193</v>
      </c>
      <c r="H23" s="5" t="s">
        <v>21</v>
      </c>
      <c r="I23" s="8" t="s">
        <v>22</v>
      </c>
      <c r="J23" s="8" t="n">
        <v>4</v>
      </c>
      <c r="K23" s="7" t="s">
        <v>194</v>
      </c>
      <c r="L23" s="7" t="s">
        <v>195</v>
      </c>
      <c r="M23" s="7" t="s">
        <v>196</v>
      </c>
      <c r="N23" s="7" t="s">
        <v>197</v>
      </c>
    </row>
    <row r="24" customFormat="false" ht="68.25" hidden="false" customHeight="true" outlineLevel="0" collapsed="false">
      <c r="A24" s="3" t="s">
        <v>198</v>
      </c>
      <c r="B24" s="13" t="s">
        <v>199</v>
      </c>
      <c r="C24" s="3" t="s">
        <v>200</v>
      </c>
      <c r="D24" s="3" t="s">
        <v>201</v>
      </c>
      <c r="E24" s="3" t="s">
        <v>202</v>
      </c>
      <c r="F24" s="3" t="s">
        <v>203</v>
      </c>
      <c r="G24" s="3" t="s">
        <v>204</v>
      </c>
      <c r="H24" s="5" t="s">
        <v>21</v>
      </c>
      <c r="I24" s="6" t="s">
        <v>22</v>
      </c>
      <c r="J24" s="6" t="n">
        <v>3</v>
      </c>
      <c r="K24" s="3" t="s">
        <v>205</v>
      </c>
      <c r="L24" s="3" t="s">
        <v>206</v>
      </c>
      <c r="M24" s="3" t="s">
        <v>25</v>
      </c>
      <c r="N24" s="3"/>
    </row>
    <row r="25" customFormat="false" ht="79.5" hidden="false" customHeight="true" outlineLevel="0" collapsed="false">
      <c r="A25" s="7" t="s">
        <v>207</v>
      </c>
      <c r="B25" s="13" t="s">
        <v>199</v>
      </c>
      <c r="C25" s="7" t="s">
        <v>200</v>
      </c>
      <c r="D25" s="7" t="s">
        <v>208</v>
      </c>
      <c r="E25" s="7" t="s">
        <v>209</v>
      </c>
      <c r="F25" s="7" t="s">
        <v>210</v>
      </c>
      <c r="G25" s="7" t="s">
        <v>211</v>
      </c>
      <c r="H25" s="5" t="s">
        <v>21</v>
      </c>
      <c r="I25" s="8" t="s">
        <v>22</v>
      </c>
      <c r="J25" s="8" t="n">
        <v>5</v>
      </c>
      <c r="K25" s="7" t="s">
        <v>212</v>
      </c>
      <c r="L25" s="7" t="s">
        <v>213</v>
      </c>
      <c r="M25" s="7" t="s">
        <v>25</v>
      </c>
      <c r="N25" s="7" t="s">
        <v>214</v>
      </c>
    </row>
    <row r="26" customFormat="false" ht="79.5" hidden="false" customHeight="true" outlineLevel="0" collapsed="false">
      <c r="A26" s="3" t="s">
        <v>215</v>
      </c>
      <c r="B26" s="13" t="s">
        <v>199</v>
      </c>
      <c r="C26" s="3" t="s">
        <v>200</v>
      </c>
      <c r="D26" s="3" t="s">
        <v>216</v>
      </c>
      <c r="E26" s="3" t="s">
        <v>217</v>
      </c>
      <c r="F26" s="3" t="s">
        <v>218</v>
      </c>
      <c r="G26" s="3" t="s">
        <v>219</v>
      </c>
      <c r="H26" s="9" t="s">
        <v>39</v>
      </c>
      <c r="I26" s="6" t="s">
        <v>22</v>
      </c>
      <c r="J26" s="6" t="n">
        <v>4</v>
      </c>
      <c r="K26" s="3" t="s">
        <v>220</v>
      </c>
      <c r="L26" s="3" t="s">
        <v>221</v>
      </c>
      <c r="M26" s="3" t="s">
        <v>25</v>
      </c>
      <c r="N26" s="3" t="s">
        <v>222</v>
      </c>
    </row>
    <row r="27" customFormat="false" ht="68.25" hidden="false" customHeight="true" outlineLevel="0" collapsed="false">
      <c r="A27" s="7" t="s">
        <v>223</v>
      </c>
      <c r="B27" s="14" t="s">
        <v>224</v>
      </c>
      <c r="C27" s="7" t="s">
        <v>16</v>
      </c>
      <c r="D27" s="7" t="s">
        <v>225</v>
      </c>
      <c r="E27" s="7" t="s">
        <v>226</v>
      </c>
      <c r="F27" s="7" t="s">
        <v>227</v>
      </c>
      <c r="G27" s="7" t="s">
        <v>228</v>
      </c>
      <c r="H27" s="5" t="s">
        <v>21</v>
      </c>
      <c r="I27" s="8" t="s">
        <v>22</v>
      </c>
      <c r="J27" s="8" t="n">
        <v>4</v>
      </c>
      <c r="K27" s="7" t="s">
        <v>229</v>
      </c>
      <c r="L27" s="7" t="s">
        <v>230</v>
      </c>
      <c r="M27" s="7" t="s">
        <v>231</v>
      </c>
      <c r="N27" s="7"/>
    </row>
    <row r="28" customFormat="false" ht="68.25" hidden="false" customHeight="true" outlineLevel="0" collapsed="false">
      <c r="A28" s="3" t="s">
        <v>232</v>
      </c>
      <c r="B28" s="14" t="s">
        <v>224</v>
      </c>
      <c r="C28" s="3" t="s">
        <v>163</v>
      </c>
      <c r="D28" s="3" t="s">
        <v>233</v>
      </c>
      <c r="E28" s="3" t="s">
        <v>234</v>
      </c>
      <c r="F28" s="3" t="s">
        <v>235</v>
      </c>
      <c r="G28" s="3" t="s">
        <v>236</v>
      </c>
      <c r="H28" s="5" t="s">
        <v>21</v>
      </c>
      <c r="I28" s="6" t="s">
        <v>22</v>
      </c>
      <c r="J28" s="6" t="n">
        <v>5</v>
      </c>
      <c r="K28" s="3" t="s">
        <v>237</v>
      </c>
      <c r="L28" s="3" t="s">
        <v>238</v>
      </c>
      <c r="M28" s="3" t="s">
        <v>223</v>
      </c>
      <c r="N28" s="3"/>
    </row>
    <row r="29" customFormat="false" ht="68.25" hidden="false" customHeight="true" outlineLevel="0" collapsed="false">
      <c r="A29" s="7" t="s">
        <v>239</v>
      </c>
      <c r="B29" s="14" t="s">
        <v>224</v>
      </c>
      <c r="C29" s="7" t="s">
        <v>163</v>
      </c>
      <c r="D29" s="7" t="s">
        <v>240</v>
      </c>
      <c r="E29" s="7" t="s">
        <v>241</v>
      </c>
      <c r="F29" s="7" t="s">
        <v>242</v>
      </c>
      <c r="G29" s="7" t="s">
        <v>243</v>
      </c>
      <c r="H29" s="9" t="s">
        <v>39</v>
      </c>
      <c r="I29" s="8" t="s">
        <v>22</v>
      </c>
      <c r="J29" s="8" t="n">
        <v>4</v>
      </c>
      <c r="K29" s="7" t="s">
        <v>244</v>
      </c>
      <c r="L29" s="7" t="s">
        <v>245</v>
      </c>
      <c r="M29" s="7" t="s">
        <v>232</v>
      </c>
      <c r="N29" s="7" t="s">
        <v>246</v>
      </c>
    </row>
    <row r="30" customFormat="false" ht="90.75" hidden="false" customHeight="true" outlineLevel="0" collapsed="false">
      <c r="A30" s="3" t="s">
        <v>247</v>
      </c>
      <c r="B30" s="14" t="s">
        <v>224</v>
      </c>
      <c r="C30" s="3" t="s">
        <v>163</v>
      </c>
      <c r="D30" s="3" t="s">
        <v>248</v>
      </c>
      <c r="E30" s="3" t="s">
        <v>249</v>
      </c>
      <c r="F30" s="3" t="s">
        <v>250</v>
      </c>
      <c r="G30" s="3" t="s">
        <v>251</v>
      </c>
      <c r="H30" s="5" t="s">
        <v>21</v>
      </c>
      <c r="I30" s="6" t="s">
        <v>22</v>
      </c>
      <c r="J30" s="6" t="n">
        <v>5</v>
      </c>
      <c r="K30" s="3" t="s">
        <v>252</v>
      </c>
      <c r="L30" s="3" t="s">
        <v>253</v>
      </c>
      <c r="M30" s="3" t="s">
        <v>232</v>
      </c>
      <c r="N30" s="3"/>
    </row>
    <row r="31" customFormat="false" ht="90.75" hidden="false" customHeight="true" outlineLevel="0" collapsed="false">
      <c r="A31" s="7" t="s">
        <v>254</v>
      </c>
      <c r="B31" s="14" t="s">
        <v>224</v>
      </c>
      <c r="C31" s="7" t="s">
        <v>16</v>
      </c>
      <c r="D31" s="7" t="s">
        <v>255</v>
      </c>
      <c r="E31" s="7" t="s">
        <v>256</v>
      </c>
      <c r="F31" s="7" t="s">
        <v>257</v>
      </c>
      <c r="G31" s="7" t="s">
        <v>258</v>
      </c>
      <c r="H31" s="5" t="s">
        <v>21</v>
      </c>
      <c r="I31" s="8" t="s">
        <v>22</v>
      </c>
      <c r="J31" s="8" t="n">
        <v>3</v>
      </c>
      <c r="K31" s="7" t="s">
        <v>259</v>
      </c>
      <c r="L31" s="7" t="s">
        <v>260</v>
      </c>
      <c r="M31" s="7" t="s">
        <v>261</v>
      </c>
      <c r="N31" s="7" t="s">
        <v>262</v>
      </c>
    </row>
    <row r="32" customFormat="false" ht="124.6" hidden="false" customHeight="false" outlineLevel="0" collapsed="false">
      <c r="A32" s="3" t="s">
        <v>263</v>
      </c>
      <c r="B32" s="10" t="s">
        <v>67</v>
      </c>
      <c r="C32" s="3" t="s">
        <v>68</v>
      </c>
      <c r="D32" s="3" t="s">
        <v>264</v>
      </c>
      <c r="E32" s="3" t="s">
        <v>265</v>
      </c>
      <c r="F32" s="3" t="s">
        <v>266</v>
      </c>
      <c r="G32" s="3" t="s">
        <v>267</v>
      </c>
      <c r="H32" s="5" t="s">
        <v>21</v>
      </c>
      <c r="I32" s="6" t="s">
        <v>22</v>
      </c>
      <c r="J32" s="6" t="n">
        <v>4</v>
      </c>
      <c r="K32" s="3" t="s">
        <v>268</v>
      </c>
      <c r="L32" s="3" t="s">
        <v>269</v>
      </c>
      <c r="M32" s="3" t="s">
        <v>25</v>
      </c>
      <c r="N32" s="3" t="s">
        <v>270</v>
      </c>
    </row>
    <row r="33" customFormat="false" ht="102.2" hidden="false" customHeight="false" outlineLevel="0" collapsed="false">
      <c r="A33" s="7" t="s">
        <v>271</v>
      </c>
      <c r="B33" s="10" t="s">
        <v>67</v>
      </c>
      <c r="C33" s="7" t="s">
        <v>68</v>
      </c>
      <c r="D33" s="7" t="s">
        <v>272</v>
      </c>
      <c r="E33" s="7" t="s">
        <v>273</v>
      </c>
      <c r="F33" s="7" t="s">
        <v>274</v>
      </c>
      <c r="G33" s="7" t="s">
        <v>275</v>
      </c>
      <c r="H33" s="5" t="s">
        <v>21</v>
      </c>
      <c r="I33" s="8" t="s">
        <v>22</v>
      </c>
      <c r="J33" s="8" t="n">
        <v>3</v>
      </c>
      <c r="K33" s="7" t="s">
        <v>276</v>
      </c>
      <c r="L33" s="7" t="s">
        <v>277</v>
      </c>
      <c r="M33" s="7" t="s">
        <v>76</v>
      </c>
      <c r="N33" s="7" t="s">
        <v>278</v>
      </c>
    </row>
    <row r="34" customFormat="false" ht="124.6" hidden="false" customHeight="false" outlineLevel="0" collapsed="false">
      <c r="A34" s="3" t="s">
        <v>279</v>
      </c>
      <c r="B34" s="10" t="s">
        <v>67</v>
      </c>
      <c r="C34" s="3" t="s">
        <v>85</v>
      </c>
      <c r="D34" s="3" t="s">
        <v>280</v>
      </c>
      <c r="E34" s="3" t="s">
        <v>281</v>
      </c>
      <c r="F34" s="3" t="s">
        <v>282</v>
      </c>
      <c r="G34" s="3" t="s">
        <v>283</v>
      </c>
      <c r="H34" s="5" t="s">
        <v>21</v>
      </c>
      <c r="I34" s="6" t="s">
        <v>22</v>
      </c>
      <c r="J34" s="6" t="n">
        <v>3</v>
      </c>
      <c r="K34" s="3" t="s">
        <v>284</v>
      </c>
      <c r="L34" s="3" t="s">
        <v>285</v>
      </c>
      <c r="M34" s="3" t="s">
        <v>25</v>
      </c>
      <c r="N34" s="3" t="s">
        <v>286</v>
      </c>
    </row>
    <row r="35" customFormat="false" ht="79.85" hidden="false" customHeight="false" outlineLevel="0" collapsed="false">
      <c r="A35" s="7" t="s">
        <v>287</v>
      </c>
      <c r="B35" s="4" t="s">
        <v>15</v>
      </c>
      <c r="C35" s="7" t="s">
        <v>44</v>
      </c>
      <c r="D35" s="7" t="s">
        <v>288</v>
      </c>
      <c r="E35" s="7" t="s">
        <v>289</v>
      </c>
      <c r="F35" s="7" t="s">
        <v>290</v>
      </c>
      <c r="G35" s="7" t="s">
        <v>291</v>
      </c>
      <c r="H35" s="5" t="s">
        <v>21</v>
      </c>
      <c r="I35" s="8" t="s">
        <v>22</v>
      </c>
      <c r="J35" s="8" t="n">
        <v>2</v>
      </c>
      <c r="K35" s="7" t="s">
        <v>292</v>
      </c>
      <c r="L35" s="7" t="s">
        <v>293</v>
      </c>
      <c r="M35" s="7" t="s">
        <v>25</v>
      </c>
      <c r="N35" s="7" t="s">
        <v>294</v>
      </c>
    </row>
    <row r="36" customFormat="false" ht="91" hidden="false" customHeight="false" outlineLevel="0" collapsed="false">
      <c r="A36" s="3" t="s">
        <v>295</v>
      </c>
      <c r="B36" s="10" t="s">
        <v>67</v>
      </c>
      <c r="C36" s="3" t="s">
        <v>85</v>
      </c>
      <c r="D36" s="3" t="s">
        <v>296</v>
      </c>
      <c r="E36" s="3" t="s">
        <v>297</v>
      </c>
      <c r="F36" s="3" t="s">
        <v>298</v>
      </c>
      <c r="G36" s="3" t="s">
        <v>299</v>
      </c>
      <c r="H36" s="5" t="s">
        <v>21</v>
      </c>
      <c r="I36" s="6" t="s">
        <v>22</v>
      </c>
      <c r="J36" s="6" t="n">
        <v>2</v>
      </c>
      <c r="K36" s="3" t="s">
        <v>300</v>
      </c>
      <c r="L36" s="3" t="s">
        <v>301</v>
      </c>
      <c r="M36" s="3" t="s">
        <v>25</v>
      </c>
      <c r="N36" s="3" t="s">
        <v>302</v>
      </c>
    </row>
  </sheetData>
  <autoFilter ref="A1:N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5"/>
    <col collapsed="false" customWidth="true" hidden="false" outlineLevel="0" max="4" min="4" style="1" width="8"/>
    <col collapsed="false" customWidth="true" hidden="false" outlineLevel="0" max="5" min="5" style="1" width="12"/>
    <col collapsed="false" customWidth="true" hidden="false" outlineLevel="0" max="6" min="6" style="1" width="50"/>
    <col collapsed="false" customWidth="true" hidden="false" outlineLevel="0" max="7" min="7" style="1" width="45"/>
  </cols>
  <sheetData>
    <row r="1" customFormat="false" ht="15" hidden="false" customHeight="true" outlineLevel="0" collapsed="false">
      <c r="A1" s="2" t="s">
        <v>1</v>
      </c>
      <c r="B1" s="2" t="s">
        <v>303</v>
      </c>
      <c r="C1" s="2" t="s">
        <v>304</v>
      </c>
      <c r="D1" s="2" t="s">
        <v>305</v>
      </c>
      <c r="E1" s="2" t="s">
        <v>306</v>
      </c>
      <c r="F1" s="2" t="s">
        <v>307</v>
      </c>
      <c r="G1" s="2" t="s">
        <v>308</v>
      </c>
    </row>
    <row r="2" customFormat="false" ht="34.5" hidden="false" customHeight="true" outlineLevel="0" collapsed="false">
      <c r="A2" s="4" t="s">
        <v>15</v>
      </c>
      <c r="B2" s="3" t="s">
        <v>309</v>
      </c>
      <c r="C2" s="3" t="s">
        <v>310</v>
      </c>
      <c r="D2" s="6" t="n">
        <v>7</v>
      </c>
      <c r="E2" s="6" t="n">
        <f aca="false">SUMPRODUCT((Backlog!B2:B36="Sprint 0")*Backlog!J2:J36)</f>
        <v>20</v>
      </c>
      <c r="F2" s="3" t="s">
        <v>311</v>
      </c>
      <c r="G2" s="3" t="s">
        <v>312</v>
      </c>
    </row>
    <row r="3" customFormat="false" ht="34.5" hidden="false" customHeight="true" outlineLevel="0" collapsed="false">
      <c r="A3" s="10" t="s">
        <v>67</v>
      </c>
      <c r="B3" s="7" t="s">
        <v>313</v>
      </c>
      <c r="C3" s="7" t="s">
        <v>314</v>
      </c>
      <c r="D3" s="8" t="n">
        <v>11</v>
      </c>
      <c r="E3" s="8" t="n">
        <f aca="false">SUMPRODUCT((Backlog!B2:B36="Sprint 1")*Backlog!J2:J36)</f>
        <v>36</v>
      </c>
      <c r="F3" s="7" t="s">
        <v>315</v>
      </c>
      <c r="G3" s="7" t="s">
        <v>316</v>
      </c>
    </row>
    <row r="4" customFormat="false" ht="23.25" hidden="false" customHeight="true" outlineLevel="0" collapsed="false">
      <c r="A4" s="11" t="s">
        <v>124</v>
      </c>
      <c r="B4" s="3" t="s">
        <v>317</v>
      </c>
      <c r="C4" s="3" t="s">
        <v>318</v>
      </c>
      <c r="D4" s="6" t="n">
        <v>6</v>
      </c>
      <c r="E4" s="6" t="n">
        <f aca="false">SUMPRODUCT((Backlog!B2:B36="Sprint 2")*Backlog!J2:J36)</f>
        <v>24</v>
      </c>
      <c r="F4" s="3" t="s">
        <v>319</v>
      </c>
      <c r="G4" s="3" t="s">
        <v>320</v>
      </c>
    </row>
    <row r="5" customFormat="false" ht="23.25" hidden="false" customHeight="true" outlineLevel="0" collapsed="false">
      <c r="A5" s="12" t="s">
        <v>173</v>
      </c>
      <c r="B5" s="7" t="s">
        <v>321</v>
      </c>
      <c r="C5" s="7" t="s">
        <v>322</v>
      </c>
      <c r="D5" s="8" t="n">
        <v>3</v>
      </c>
      <c r="E5" s="8" t="n">
        <f aca="false">SUMPRODUCT((Backlog!B2:B36="Sprint 3")*Backlog!J2:J36)</f>
        <v>9</v>
      </c>
      <c r="F5" s="7" t="s">
        <v>323</v>
      </c>
      <c r="G5" s="7" t="s">
        <v>324</v>
      </c>
    </row>
    <row r="6" customFormat="false" ht="23.25" hidden="false" customHeight="true" outlineLevel="0" collapsed="false">
      <c r="A6" s="13" t="s">
        <v>199</v>
      </c>
      <c r="B6" s="3" t="s">
        <v>325</v>
      </c>
      <c r="C6" s="3" t="s">
        <v>326</v>
      </c>
      <c r="D6" s="6" t="n">
        <v>3</v>
      </c>
      <c r="E6" s="6" t="n">
        <f aca="false">SUMPRODUCT((Backlog!B2:B36="Sprint 4")*Backlog!J2:J36)</f>
        <v>12</v>
      </c>
      <c r="F6" s="3" t="s">
        <v>327</v>
      </c>
      <c r="G6" s="3" t="s">
        <v>328</v>
      </c>
    </row>
    <row r="7" customFormat="false" ht="23.25" hidden="false" customHeight="true" outlineLevel="0" collapsed="false">
      <c r="A7" s="14" t="s">
        <v>224</v>
      </c>
      <c r="B7" s="7" t="s">
        <v>329</v>
      </c>
      <c r="C7" s="7" t="s">
        <v>330</v>
      </c>
      <c r="D7" s="8" t="n">
        <v>5</v>
      </c>
      <c r="E7" s="8" t="n">
        <f aca="false">SUMPRODUCT((Backlog!B2:B36="Sprint 5")*Backlog!J2:J36)</f>
        <v>21</v>
      </c>
      <c r="F7" s="7" t="s">
        <v>331</v>
      </c>
      <c r="G7" s="7" t="s">
        <v>332</v>
      </c>
    </row>
    <row r="8" customFormat="false" ht="15" hidden="false" customHeight="true" outlineLevel="0" collapsed="false">
      <c r="A8" s="15" t="s">
        <v>333</v>
      </c>
      <c r="B8" s="16"/>
      <c r="C8" s="16"/>
      <c r="D8" s="17" t="n">
        <f aca="false">SUM(D2:D7)</f>
        <v>35</v>
      </c>
      <c r="E8" s="17" t="n">
        <f aca="false">SUM(E2:E7)</f>
        <v>122</v>
      </c>
      <c r="F8" s="16"/>
      <c r="G8"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6"/>
    <col collapsed="false" customWidth="true" hidden="false" outlineLevel="0" max="4" min="4" style="1" width="20"/>
    <col collapsed="false" customWidth="true" hidden="false" outlineLevel="0" max="5" min="5" style="1" width="55"/>
  </cols>
  <sheetData>
    <row r="1" customFormat="false" ht="15" hidden="false" customHeight="true" outlineLevel="0" collapsed="false">
      <c r="A1" s="2" t="s">
        <v>334</v>
      </c>
      <c r="B1" s="2" t="s">
        <v>335</v>
      </c>
      <c r="C1" s="2" t="s">
        <v>336</v>
      </c>
      <c r="D1" s="2" t="s">
        <v>337</v>
      </c>
      <c r="E1" s="2" t="s">
        <v>338</v>
      </c>
    </row>
    <row r="2" customFormat="false" ht="15" hidden="false" customHeight="true" outlineLevel="0" collapsed="false">
      <c r="A2" s="3" t="s">
        <v>339</v>
      </c>
      <c r="B2" s="3" t="s">
        <v>340</v>
      </c>
      <c r="C2" s="3" t="s">
        <v>341</v>
      </c>
      <c r="D2" s="3" t="s">
        <v>342</v>
      </c>
      <c r="E2" s="3" t="s">
        <v>343</v>
      </c>
    </row>
    <row r="3" customFormat="false" ht="15" hidden="false" customHeight="true" outlineLevel="0" collapsed="false">
      <c r="A3" s="7" t="s">
        <v>339</v>
      </c>
      <c r="B3" s="7" t="s">
        <v>344</v>
      </c>
      <c r="C3" s="7" t="s">
        <v>341</v>
      </c>
      <c r="D3" s="7" t="s">
        <v>345</v>
      </c>
      <c r="E3" s="7" t="s">
        <v>346</v>
      </c>
    </row>
    <row r="4" customFormat="false" ht="15" hidden="false" customHeight="true" outlineLevel="0" collapsed="false">
      <c r="A4" s="3"/>
      <c r="B4" s="3"/>
      <c r="C4" s="3"/>
      <c r="D4" s="3"/>
      <c r="E4" s="3"/>
    </row>
    <row r="5" customFormat="false" ht="15" hidden="false" customHeight="true" outlineLevel="0" collapsed="false">
      <c r="A5" s="7"/>
      <c r="B5" s="7"/>
      <c r="C5" s="7"/>
      <c r="D5" s="7"/>
      <c r="E5" s="7"/>
    </row>
    <row r="6" customFormat="false" ht="15" hidden="false" customHeight="true" outlineLevel="0" collapsed="false">
      <c r="A6" s="3"/>
      <c r="B6" s="3"/>
      <c r="C6" s="3"/>
      <c r="D6" s="3"/>
      <c r="E6" s="3"/>
    </row>
    <row r="7" customFormat="false" ht="15" hidden="false" customHeight="true" outlineLevel="0" collapsed="false">
      <c r="A7" s="7"/>
      <c r="B7" s="7"/>
      <c r="C7" s="7"/>
      <c r="D7" s="7"/>
      <c r="E7" s="7"/>
    </row>
    <row r="8" customFormat="false" ht="15" hidden="false" customHeight="true" outlineLevel="0" collapsed="false">
      <c r="A8" s="3"/>
      <c r="B8" s="3"/>
      <c r="C8" s="3"/>
      <c r="D8" s="3"/>
      <c r="E8" s="3"/>
    </row>
    <row r="9" customFormat="false" ht="15" hidden="false" customHeight="true" outlineLevel="0" collapsed="false">
      <c r="A9" s="7"/>
      <c r="B9" s="7"/>
      <c r="C9" s="7"/>
      <c r="D9" s="7"/>
      <c r="E9" s="7"/>
    </row>
    <row r="10" customFormat="false" ht="15" hidden="false" customHeight="true" outlineLevel="0" collapsed="false">
      <c r="A10" s="3"/>
      <c r="B10" s="3"/>
      <c r="C10" s="3"/>
      <c r="D10" s="3"/>
      <c r="E10" s="3"/>
    </row>
    <row r="11" customFormat="false" ht="15" hidden="false" customHeight="true" outlineLevel="0" collapsed="false">
      <c r="A11" s="7"/>
      <c r="B11" s="7"/>
      <c r="C11" s="7"/>
      <c r="D11" s="7"/>
      <c r="E11" s="7"/>
    </row>
    <row r="12" customFormat="false" ht="15" hidden="false" customHeight="true" outlineLevel="0" collapsed="false">
      <c r="A12" s="3"/>
      <c r="B12" s="3"/>
      <c r="C12" s="3"/>
      <c r="D12" s="3"/>
      <c r="E12" s="3"/>
    </row>
    <row r="13" customFormat="false" ht="15" hidden="false" customHeight="true" outlineLevel="0" collapsed="false">
      <c r="A13" s="7"/>
      <c r="B13" s="7"/>
      <c r="C13" s="7"/>
      <c r="D13" s="7"/>
      <c r="E13" s="7"/>
    </row>
    <row r="14" customFormat="false" ht="15" hidden="false" customHeight="true" outlineLevel="0" collapsed="false">
      <c r="A14" s="3"/>
      <c r="B14" s="3"/>
      <c r="C14" s="3"/>
      <c r="D14" s="3"/>
      <c r="E14" s="3"/>
    </row>
    <row r="15" customFormat="false" ht="15" hidden="false" customHeight="true" outlineLevel="0" collapsed="false">
      <c r="A15" s="7"/>
      <c r="B15" s="7"/>
      <c r="C15" s="7"/>
      <c r="D15" s="7"/>
      <c r="E15" s="7"/>
    </row>
    <row r="16" customFormat="false" ht="15" hidden="false" customHeight="true" outlineLevel="0" collapsed="false">
      <c r="A16" s="3"/>
      <c r="B16" s="3"/>
      <c r="C16" s="3"/>
      <c r="D16" s="3"/>
      <c r="E16" s="3"/>
    </row>
    <row r="17" customFormat="false" ht="15" hidden="false" customHeight="true" outlineLevel="0" collapsed="false">
      <c r="A17" s="7"/>
      <c r="B17" s="7"/>
      <c r="C17" s="7"/>
      <c r="D17" s="7"/>
      <c r="E17" s="7"/>
    </row>
    <row r="18" customFormat="false" ht="15" hidden="false" customHeight="true" outlineLevel="0" collapsed="false">
      <c r="A18" s="3"/>
      <c r="B18" s="3"/>
      <c r="C18" s="3"/>
      <c r="D18" s="3"/>
      <c r="E18" s="3"/>
    </row>
    <row r="19" customFormat="false" ht="15" hidden="false" customHeight="true" outlineLevel="0" collapsed="false">
      <c r="A19" s="7"/>
      <c r="B19" s="7"/>
      <c r="C19" s="7"/>
      <c r="D19" s="7"/>
      <c r="E19" s="7"/>
    </row>
    <row r="20" customFormat="false" ht="15" hidden="false" customHeight="true" outlineLevel="0" collapsed="false">
      <c r="A20" s="3"/>
      <c r="B20" s="3"/>
      <c r="C20" s="3"/>
      <c r="D20" s="3"/>
      <c r="E20" s="3"/>
    </row>
    <row r="21" customFormat="false" ht="15" hidden="false" customHeight="true" outlineLevel="0" collapsed="false">
      <c r="A21" s="7"/>
      <c r="B21" s="7"/>
      <c r="C21" s="7"/>
      <c r="D21" s="7"/>
      <c r="E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2026-03-01T03:34:13Z</dcterms:created>
  <dc:creator>openpyxl</dc:creator>
  <dc:description/>
  <dc:language>en-US</dc:language>
  <cp:lastModifiedBy/>
  <dcterms:modified xsi:type="dcterms:W3CDTF">2026-03-01T04:00:55Z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