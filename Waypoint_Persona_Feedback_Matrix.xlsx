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 Master List" sheetId="1" state="visible" r:id="rId3"/>
    <sheet name="Persona Impact Matrix" sheetId="2" state="visible" r:id="rId4"/>
    <sheet name="Persona Profiles" sheetId="3" state="visible" r:id="rId5"/>
    <sheet name="Priority Roadmap" sheetId="4" state="visible" r:id="rId6"/>
    <sheet name="Cross-Cutting Themes" sheetId="5" state="visible" r:id="rId7"/>
  </sheets>
  <definedNames>
    <definedName function="false" hidden="true" localSheetId="0" name="_xlnm._FilterDatabase" vbProcedure="false">'Findings Master List'!$A$1:$H$44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<sst xmlns="http://schemas.openxmlformats.org/spreadsheetml/2006/main" count="972" uniqueCount="371">
  <si>
    <t xml:space="preserve">Finding ID</t>
  </si>
  <si>
    <t xml:space="preserve">Category</t>
  </si>
  <si>
    <t xml:space="preserve">Severity</t>
  </si>
  <si>
    <t xml:space="preserve">Title</t>
  </si>
  <si>
    <t xml:space="preserve">Description</t>
  </si>
  <si>
    <t xml:space="preserve">Effort Estimate</t>
  </si>
  <si>
    <t xml:space="preserve">Affected Personas</t>
  </si>
  <si>
    <t xml:space="preserve">Recommended Priority</t>
  </si>
  <si>
    <t xml:space="preserve">BUG-01</t>
  </si>
  <si>
    <t xml:space="preserve">Critical Bug</t>
  </si>
  <si>
    <t xml:space="preserve">Critical</t>
  </si>
  <si>
    <t xml:space="preserve">Spanish i18n Coverage Only Reaches Landing Page</t>
  </si>
  <si>
    <t xml:space="preserve">App provides Spanish onboarding but all subsequent screens (dashboard, chat, articles) are English-only, making app unusable for Spanish-dominant users.</t>
  </si>
  <si>
    <t xml:space="preserve">Medium</t>
  </si>
  <si>
    <t xml:space="preserve">1, 5</t>
  </si>
  <si>
    <t xml:space="preserve">P1</t>
  </si>
  <si>
    <t xml:space="preserve">BUG-02</t>
  </si>
  <si>
    <t xml:space="preserve">Fragile Client-Side Email Analysis Regex</t>
  </si>
  <si>
    <t xml:space="preserve">Email analysis relies on hardcoded regex patterns that produce false positives (e.g., "Unfortunately we have good news" flagged as denial) without AI validation.</t>
  </si>
  <si>
    <t xml:space="preserve">Small</t>
  </si>
  <si>
    <t xml:space="preserve">All</t>
  </si>
  <si>
    <t xml:space="preserve">BUG-03</t>
  </si>
  <si>
    <t xml:space="preserve">localStorage-Based Action State with No Persistence</t>
  </si>
  <si>
    <t xml:space="preserve">All user progress (started, completed, dismissed actions) stored in browser localStorage only. Any browser clear/device switch/incognito mode erases weeks of work with no recovery.</t>
  </si>
  <si>
    <t xml:space="preserve">Large</t>
  </si>
  <si>
    <t xml:space="preserve">BUG-04</t>
  </si>
  <si>
    <t xml:space="preserve">High</t>
  </si>
  <si>
    <t xml:space="preserve">No Offline Capability for GAS Web App</t>
  </si>
  <si>
    <t xml:space="preserve">App requires live internet at all times. Users in rural areas with unreliable connectivity cannot access app mid-action or during travel.</t>
  </si>
  <si>
    <t xml:space="preserve">Very Large</t>
  </si>
  <si>
    <t xml:space="preserve">7, 8</t>
  </si>
  <si>
    <t xml:space="preserve">P2</t>
  </si>
  <si>
    <t xml:space="preserve">BUG-05</t>
  </si>
  <si>
    <t xml:space="preserve">Diagnosis-to-Eligibility Mapping: ADHD Users Directed to Ineligible RC</t>
  </si>
  <si>
    <t xml:space="preserve">Action plan generator does not filter by diagnosis eligibility. ADHD-only users receive RC action suggestions even though ADHD alone does not qualify for Regional Centers.</t>
  </si>
  <si>
    <t xml:space="preserve">2, 4</t>
  </si>
  <si>
    <t xml:space="preserve">BUG-06</t>
  </si>
  <si>
    <t xml:space="preserve">Profile Save Destructively Regenerates Action Plan, Resetting All Progress</t>
  </si>
  <si>
    <t xml:space="preserve">When users edit profile and save, app regenerates entire action plan, destroying all prior action states (started, completed, dismissed, follow-up schedules).</t>
  </si>
  <si>
    <t xml:space="preserve">BUG-07</t>
  </si>
  <si>
    <t xml:space="preserve">No Session Timeout Handling</t>
  </si>
  <si>
    <t xml:space="preserve">When GAS sessions timeout mid-use, users encounter cryptic error with no recovery path. No warning, re-auth option, or offline queuing.</t>
  </si>
  <si>
    <t xml:space="preserve">BUG-08</t>
  </si>
  <si>
    <t xml:space="preserve">Check-in Frustration Flow Actions Not Integrated into Dashboard</t>
  </si>
  <si>
    <t xml:space="preserve">Frustration flows generate escalation actions but they don't persist in main action list, don't appear in calendar, and have no follow-up tracking.</t>
  </si>
  <si>
    <t xml:space="preserve">1, 3, 5, 7, 9</t>
  </si>
  <si>
    <t xml:space="preserve">IMP-01</t>
  </si>
  <si>
    <t xml:space="preserve">High-Impact Improvement</t>
  </si>
  <si>
    <t xml:space="preserve">Add Vietnamese Language Support</t>
  </si>
  <si>
    <t xml:space="preserve">Implement full Vietnamese i18n (onboarding, dashboard, chat, articles) with native Vietnamese speaker QA for California's 4th most spoken language.</t>
  </si>
  <si>
    <t xml:space="preserve">9</t>
  </si>
  <si>
    <t xml:space="preserve">IMP-02</t>
  </si>
  <si>
    <t xml:space="preserve">Add Tagalog, Mandarin, and Cantonese Support</t>
  </si>
  <si>
    <t xml:space="preserve">These three languages plus Vietnamese and Spanish cover 65% of California's non-English-primary-language population.</t>
  </si>
  <si>
    <t xml:space="preserve">Extended</t>
  </si>
  <si>
    <t xml:space="preserve">IMP-03</t>
  </si>
  <si>
    <t xml:space="preserve">Onboarding Should Capture Critical Demographic Factors</t>
  </si>
  <si>
    <t xml:space="preserve">Expand onboarding to capture: immigration status, military status, family structure, rural location, parent disability, kinship status, language preference beyond EN/ES.</t>
  </si>
  <si>
    <t xml:space="preserve">IMP-04</t>
  </si>
  <si>
    <t xml:space="preserve">Multi-Child Support</t>
  </si>
  <si>
    <t xml:space="preserve">Add ability to manage 2-5 child profiles per parent account with separate action plans but unified dashboard view.</t>
  </si>
  <si>
    <t xml:space="preserve">1, 2, 3, 4, 5, 6, 8</t>
  </si>
  <si>
    <t xml:space="preserve">IMP-05</t>
  </si>
  <si>
    <t xml:space="preserve">Contextual Quick Actions Grid</t>
  </si>
  <si>
    <t xml:space="preserve">Home screen quick actions should respond to user situation (missing RC contact → show "Call RC", approaching deadline → show "Prepare IEP").</t>
  </si>
  <si>
    <t xml:space="preserve">IMP-06</t>
  </si>
  <si>
    <t xml:space="preserve">Expand Calendar Integration Options</t>
  </si>
  <si>
    <t xml:space="preserve">Add Apple Calendar (.ics) export, Outlook integration, and generic .ics download for users not on Google Calendar.</t>
  </si>
  <si>
    <t xml:space="preserve">IMP-07</t>
  </si>
  <si>
    <t xml:space="preserve">SMS "Text Myself" Should Set Up Actual Reminders</t>
  </si>
  <si>
    <t xml:space="preserve">Current "Text Myself" sends one-time SMS. Upgrade to recurring reminders (7 days out, 24 hours before, weekly for ongoing tasks).</t>
  </si>
  <si>
    <t xml:space="preserve">7, 8, 9</t>
  </si>
  <si>
    <t xml:space="preserve">IMP-08</t>
  </si>
  <si>
    <t xml:space="preserve">Add Proactive Notification/Reminder System</t>
  </si>
  <si>
    <t xml:space="preserve">Implement browser push notifications, email digests, SMS for critical deadlines, and in-app notification center.</t>
  </si>
  <si>
    <t xml:space="preserve">IMP-09</t>
  </si>
  <si>
    <t xml:space="preserve">Agency Directory Should Filter by User Location</t>
  </si>
  <si>
    <t xml:space="preserve">Migrate static agency list to dynamic, filter by county, show distance, hours, language support, map view.</t>
  </si>
  <si>
    <t xml:space="preserve">1, 8, 9</t>
  </si>
  <si>
    <t xml:space="preserve">IMP-10</t>
  </si>
  <si>
    <t xml:space="preserve">Learn More Articles Should Link to External Resources</t>
  </si>
  <si>
    <t xml:space="preserve">Audit 40+ articles and add 3-5 curated external links per article (California Dept of Ed, DRC, CPS, TRICARE, etc.).</t>
  </si>
  <si>
    <t xml:space="preserve">IMP-11</t>
  </si>
  <si>
    <t xml:space="preserve">Expand Follow-Up Outcome Tracking</t>
  </si>
  <si>
    <t xml:space="preserve">Replace binary outcomes with detailed taxonomy: RC outcomes (Authorized, Denied, etc.), School outcomes, Insurance outcomes.</t>
  </si>
  <si>
    <t xml:space="preserve">IMP-12</t>
  </si>
  <si>
    <t xml:space="preserve">Document Upload and Storage</t>
  </si>
  <si>
    <t xml:space="preserve">Allow users to upload, tag, search, and share critical documents (IEPs, denials, evaluations) with optional Google Drive backend.</t>
  </si>
  <si>
    <t xml:space="preserve">IMP-13</t>
  </si>
  <si>
    <t xml:space="preserve">Expand Draft Generation Templates</t>
  </si>
  <si>
    <t xml:space="preserve">Add templates for: Prior Written Notice, Assessment Request, Records Request, Fair Hearing, 4731 complaint, OCR complaint, IHSS appeal, CCS application.</t>
  </si>
  <si>
    <t xml:space="preserve">3, 8, 10</t>
  </si>
  <si>
    <t xml:space="preserve">IMP-14</t>
  </si>
  <si>
    <t xml:space="preserve">Add Progress History and Timeline</t>
  </si>
  <si>
    <t xml:space="preserve">Persist completion timestamps, display completed actions chronologically, generate progress report (PDF/markdown), timeline visualization.</t>
  </si>
  <si>
    <t xml:space="preserve">IMP-15</t>
  </si>
  <si>
    <t xml:space="preserve">Surfacing Tone Escalation for Chat</t>
  </si>
  <si>
    <t xml:space="preserve">Display current tone level, add "Escalate tone" button, show before/after examples before tone switch.</t>
  </si>
  <si>
    <t xml:space="preserve">IMP-16</t>
  </si>
  <si>
    <t xml:space="preserve">RC Reimbursable Services List Should Explain the Process</t>
  </si>
  <si>
    <t xml:space="preserve">Add "How to Get Reimbursed" guide explaining payment→submission→reimbursement process, timeline, documentation, disputes.</t>
  </si>
  <si>
    <t xml:space="preserve">1, 5, 7, 9</t>
  </si>
  <si>
    <t xml:space="preserve">IMP-17</t>
  </si>
  <si>
    <t xml:space="preserve">Action Plan Sharing with Co-Parents and Advocates</t>
  </si>
  <si>
    <t xml:space="preserve">Add "Invite collaborator" feature with email sharing, read-only links (30-day expiry), comment ability, access audit log.</t>
  </si>
  <si>
    <t xml:space="preserve">2, 3, 4, 6, 8, 10</t>
  </si>
  <si>
    <t xml:space="preserve">IMP-18</t>
  </si>
  <si>
    <t xml:space="preserve">Low-Medium</t>
  </si>
  <si>
    <t xml:space="preserve">Action Dependency Mapping</t>
  </si>
  <si>
    <t xml:space="preserve">Identify action dependencies during plan generation, display "Blocked by" or "Enables" on cards, gray out dependent actions.</t>
  </si>
  <si>
    <t xml:space="preserve">P3</t>
  </si>
  <si>
    <t xml:space="preserve">IMP-19</t>
  </si>
  <si>
    <t xml:space="preserve">Emergency/Crisis Quick-Access</t>
  </si>
  <si>
    <t xml:space="preserve">Add "I Have a Crisis" button with 3-5 quick scenarios (denial, suspension, threat to remove child, RC won't authorize, insurance denied).</t>
  </si>
  <si>
    <t xml:space="preserve">3, 8, 9</t>
  </si>
  <si>
    <t xml:space="preserve">IMP-20</t>
  </si>
  <si>
    <t xml:space="preserve">Regulatory/Procedural Quick-Reference Cards</t>
  </si>
  <si>
    <t xml:space="preserve">Create 1-page "cheat sheets" for key timelines (School IEP, RC Referral, Appeals) and suspension rules. Add as PDF or interactive widget.</t>
  </si>
  <si>
    <t xml:space="preserve">IMP-21</t>
  </si>
  <si>
    <t xml:space="preserve">Personalized Resource Recommendations Based on Situation</t>
  </si>
  <si>
    <t xml:space="preserve">Tag articles by diagnosis, phase, urgency, language. Implement recommendation engine to show relevant resources.</t>
  </si>
  <si>
    <t xml:space="preserve">IMP-22</t>
  </si>
  <si>
    <t xml:space="preserve">Mobile Responsiveness and Accessibility Audits</t>
  </si>
  <si>
    <t xml:space="preserve">Run WAVE accessibility audit, test keyboard navigation, screen reader compatibility, text sizing to 200%, color contrast (WCAG AA).</t>
  </si>
  <si>
    <t xml:space="preserve">FEAT-01</t>
  </si>
  <si>
    <t xml:space="preserve">Large Feature</t>
  </si>
  <si>
    <t xml:space="preserve">Document Vault</t>
  </si>
  <si>
    <t xml:space="preserve">Centralized document upload/store/tag/search with timeline view, PDF preview, sharing with collaborators, full-text search across all documents.</t>
  </si>
  <si>
    <t xml:space="preserve">FEAT-02</t>
  </si>
  <si>
    <t xml:space="preserve">Appointment Tracker and Prep Checklists</t>
  </si>
  <si>
    <t xml:space="preserve">Unified appointment calendar with prep checklists, post-appointment notes, smart reminders (1 week, 3 days, 1 day, 1 hour), cost tracking.</t>
  </si>
  <si>
    <t xml:space="preserve">2, 7, 8</t>
  </si>
  <si>
    <t xml:space="preserve">FEAT-03</t>
  </si>
  <si>
    <t xml:space="preserve">Multi-Child Support Dashboard</t>
  </si>
  <si>
    <t xml:space="preserve">Manage 2-5 child profiles with separate action plans but unified dashboard, cross-child insights, calendar merge, combined progress report.</t>
  </si>
  <si>
    <t xml:space="preserve">FEAT-04</t>
  </si>
  <si>
    <t xml:space="preserve">Service Coordination Dashboard</t>
  </si>
  <si>
    <t xml:space="preserve">Service registry per child: provider, auth status/expiration, cost/copay, start/end dates, visual service timeline, gap analysis, renewal alerts.</t>
  </si>
  <si>
    <t xml:space="preserve">1, 5, 7, 8, 9</t>
  </si>
  <si>
    <t xml:space="preserve">FEAT-05</t>
  </si>
  <si>
    <t xml:space="preserve">Peer Connection Network (Anonymized Matching)</t>
  </si>
  <si>
    <t xml:space="preserve">Opt-in peer matching by Regional Center, school district, disability category, parental situation. Anonymized profiles, discussion boards, direct messaging.</t>
  </si>
  <si>
    <t xml:space="preserve">FEAT-06</t>
  </si>
  <si>
    <t xml:space="preserve">Real-Time Chat History and Persistence</t>
  </si>
  <si>
    <t xml:space="preserve">Persistent chat history with session titles, search across chats, session continuity, export to markdown/PDF, conversation branching.</t>
  </si>
  <si>
    <t xml:space="preserve">2, 3, 8</t>
  </si>
  <si>
    <t xml:space="preserve">FEAT-07</t>
  </si>
  <si>
    <t xml:space="preserve">Advocate and Attorney Directory</t>
  </si>
  <si>
    <t xml:space="preserve">Searchable database of disability advocates/attorneys filtered by region, specialization, cost model, languages, credentials, user reviews, online availability.</t>
  </si>
  <si>
    <t xml:space="preserve">2, 3, 8, 10</t>
  </si>
  <si>
    <t xml:space="preserve">FEAT-08</t>
  </si>
  <si>
    <t xml:space="preserve">Benefit Eligibility Calculator</t>
  </si>
  <si>
    <t xml:space="preserve">Interactive questionnaire for: SSI, IHSS, Medi-Cal, CCS, CalWORKs, CalABLE, Respite Care. Results show eligibility, application process, required docs, income limits.</t>
  </si>
  <si>
    <t xml:space="preserve">FEAT-09</t>
  </si>
  <si>
    <t xml:space="preserve">Military Family Module</t>
  </si>
  <si>
    <t xml:space="preserve">Military status in onboarding, EFMP/PCS/TRICARE guides, interstate comparison tool, dual-system coordination, military family peer support.</t>
  </si>
  <si>
    <t xml:space="preserve">6</t>
  </si>
  <si>
    <t xml:space="preserve">FEAT-10</t>
  </si>
  <si>
    <t xml:space="preserve">Interactive Timeline and Journey Visualization</t>
  </si>
  <si>
    <t xml:space="preserve">Visual timeline showing past milestones, present status, projected future (6-12 months). Color-coded by phase, expandable nodes, insights, export to image/PDF.</t>
  </si>
  <si>
    <t xml:space="preserve">4, 8</t>
  </si>
  <si>
    <t xml:space="preserve">FEAT-11</t>
  </si>
  <si>
    <t xml:space="preserve">Offline Mode and Progressive Web App</t>
  </si>
  <si>
    <t xml:space="preserve">Service worker for offline asset caching, offline action plan viewing, draft queuing, background sync on reconnection, app installation to home screen.</t>
  </si>
  <si>
    <t xml:space="preserve">FEAT-12</t>
  </si>
  <si>
    <t xml:space="preserve">Family Delegation and Account Sharing</t>
  </si>
  <si>
    <t xml:space="preserve">Role-based access (primary parent, co-parent, advocate, kinship caregiver). Permission matrix, notifications, access revocation, audit log.</t>
  </si>
  <si>
    <t xml:space="preserve">2, 5, 6, 7, 9</t>
  </si>
  <si>
    <t xml:space="preserve">FEAT-13</t>
  </si>
  <si>
    <t xml:space="preserve">Integration with External Systems</t>
  </si>
  <si>
    <t xml:space="preserve">School IEP portal, Regional Center case management, IHSS timesheet, Medi-Cal portal integration for automated sync of documents/dates/authorizations.</t>
  </si>
  <si>
    <t xml:space="preserve">Finding Title</t>
  </si>
  <si>
    <t xml:space="preserve">P1: Maria</t>
  </si>
  <si>
    <t xml:space="preserve">P2: David</t>
  </si>
  <si>
    <t xml:space="preserve">P3: Tamika</t>
  </si>
  <si>
    <t xml:space="preserve">P4: Robert</t>
  </si>
  <si>
    <t xml:space="preserve">P5: Guadalupe</t>
  </si>
  <si>
    <t xml:space="preserve">P6: Keoni</t>
  </si>
  <si>
    <t xml:space="preserve">P7: Destiny</t>
  </si>
  <si>
    <t xml:space="preserve">P8: James</t>
  </si>
  <si>
    <t xml:space="preserve">P9: Anh</t>
  </si>
  <si>
    <t xml:space="preserve">P10: Alexis</t>
  </si>
  <si>
    <t xml:space="preserve">X</t>
  </si>
  <si>
    <t xml:space="preserve">TOTAL</t>
  </si>
  <si>
    <t xml:space="preserve">Persona #</t>
  </si>
  <si>
    <t xml:space="preserve">Name</t>
  </si>
  <si>
    <t xml:space="preserve">Location</t>
  </si>
  <si>
    <t xml:space="preserve">County</t>
  </si>
  <si>
    <t xml:space="preserve">Child Age</t>
  </si>
  <si>
    <t xml:space="preserve">Disability Category</t>
  </si>
  <si>
    <t xml:space="preserve">Income</t>
  </si>
  <si>
    <t xml:space="preserve">Demographics</t>
  </si>
  <si>
    <t xml:space="preserve">Key Pain Points</t>
  </si>
  <si>
    <t xml:space="preserve">Critical Gaps</t>
  </si>
  <si>
    <t xml:space="preserve">Top 3 Recommendations</t>
  </si>
  <si>
    <t xml:space="preserve"># of Findings</t>
  </si>
  <si>
    <t xml:space="preserve">Maria Elena Gutierrez</t>
  </si>
  <si>
    <t xml:space="preserve">Bakersfield</t>
  </si>
  <si>
    <t xml:space="preserve">Kern</t>
  </si>
  <si>
    <t xml:space="preserve">5yo (Sofia)</t>
  </si>
  <si>
    <t xml:space="preserve">Speech-Language Impairment</t>
  </si>
  <si>
    <t xml:space="preserve">$28K</t>
  </si>
  <si>
    <t xml:space="preserve">Farmworker, Spanish-dominant, single mom</t>
  </si>
  <si>
    <t xml:space="preserve">Maria Elena unable to continue using app after onboarding due to Spanish i18n gap</t>
  </si>
  <si>
    <t xml:space="preserve">Spanish language support ends at landing page; no farmworker-specific guidance; no bilingual evaluation rights info</t>
  </si>
  <si>
    <t xml:space="preserve">1) Complete Spanish implementation; 2) Bilingual evaluation rights article; 3) SLI-specific action sequence</t>
  </si>
  <si>
    <t xml:space="preserve">David &amp; Priya Krishnamurthy</t>
  </si>
  <si>
    <t xml:space="preserve">Cupertino</t>
  </si>
  <si>
    <t xml:space="preserve">Santa Clara</t>
  </si>
  <si>
    <t xml:space="preserve">7yo (Arjun)</t>
  </si>
  <si>
    <t xml:space="preserve">Autism</t>
  </si>
  <si>
    <t xml:space="preserve">$310K</t>
  </si>
  <si>
    <t xml:space="preserve">Tech professionals, RC denied (IQ above threshold)</t>
  </si>
  <si>
    <t xml:space="preserve">Incorrect RC eligibility filtering causes months of wasted pursuit of ineligible services</t>
  </si>
  <si>
    <t xml:space="preserve">RC eligibility mapping broken for autism with normal IQ; no attorney directory; insurance appeal process not walkable</t>
  </si>
  <si>
    <t xml:space="preserve">1) Fix RC eligibility mapping; 2) Add attorney directory; 3) Private evaluation strategy article</t>
  </si>
  <si>
    <t xml:space="preserve">Tamika Washington</t>
  </si>
  <si>
    <t xml:space="preserve">Compton</t>
  </si>
  <si>
    <t xml:space="preserve">Los Angeles</t>
  </si>
  <si>
    <t xml:space="preserve">10yo (Jaylen)</t>
  </si>
  <si>
    <t xml:space="preserve">Specific Learning Disability</t>
  </si>
  <si>
    <t xml:space="preserve">$38K</t>
  </si>
  <si>
    <t xml:space="preserve">CNA, Black single mom, school delays RTI</t>
  </si>
  <si>
    <t xml:space="preserve">SLD severely underrepresented despite being largest special ed category (35% of IDEA students)</t>
  </si>
  <si>
    <t xml:space="preserve">RTI delay tactics not surfaced proactively; evidence-based reading programs not addressed; behavior-reading connection missing</t>
  </si>
  <si>
    <t xml:space="preserve">1) Expand SLD content; 2) Surface RTI delay tactics; 3) Add evidence-based reading framework</t>
  </si>
  <si>
    <t xml:space="preserve">Robert &amp; Lisa Chen-Hoffermann</t>
  </si>
  <si>
    <t xml:space="preserve">Sacramento</t>
  </si>
  <si>
    <t xml:space="preserve">14yo (Ethan)</t>
  </si>
  <si>
    <t xml:space="preserve">ADHD/Other Health Impairment</t>
  </si>
  <si>
    <t xml:space="preserve">$155K</t>
  </si>
  <si>
    <t xml:space="preserve">Lisa is teacher, 504→IEP transition fight</t>
  </si>
  <si>
    <t xml:space="preserve">504→IEP transition not explicitly addressed despite being core need for this family</t>
  </si>
  <si>
    <t xml:space="preserve">ADHD RC eligibility incorrectly suggested; school-based mental health services missing; substance use-discipline connection unclear</t>
  </si>
  <si>
    <t xml:space="preserve">1) Add 504→IEP transition pathway; 2) Fix RC eligibility; 3) Add school mental health services article</t>
  </si>
  <si>
    <t xml:space="preserve">Guadalupe &amp; José Morales</t>
  </si>
  <si>
    <t xml:space="preserve">El Centro</t>
  </si>
  <si>
    <t xml:space="preserve">Imperial</t>
  </si>
  <si>
    <t xml:space="preserve">2.5yo (Mateo)</t>
  </si>
  <si>
    <t xml:space="preserve">Early Start eligible</t>
  </si>
  <si>
    <t xml:space="preserve">$32K</t>
  </si>
  <si>
    <t xml:space="preserve">Undocumented, terrified of government</t>
  </si>
  <si>
    <t xml:space="preserve">Immigration fear is THE barrier but app does not address rights/privacy concerns at all</t>
  </si>
  <si>
    <t xml:space="preserve">Spanish language ends at onboarding; no "your rights regardless of immigration status" content; undocumented-specific benefits unknown</t>
  </si>
  <si>
    <t xml:space="preserve">1) Add immigration rights article; 2) Complete Spanish implementation; 3) Undocumented-specific benefits matrix</t>
  </si>
  <si>
    <t xml:space="preserve">Keoni &amp; Alana Māhealani</t>
  </si>
  <si>
    <t xml:space="preserve">San Diego</t>
  </si>
  <si>
    <t xml:space="preserve">8yo (Kai)</t>
  </si>
  <si>
    <t xml:space="preserve">Intellectual Disability</t>
  </si>
  <si>
    <t xml:space="preserve">$72K</t>
  </si>
  <si>
    <t xml:space="preserve">Military family, TRICARE + RC coordination</t>
  </si>
  <si>
    <t xml:space="preserve">Zero military-specific content despite dual-system coordination, PCS moves, TRICARE complexity</t>
  </si>
  <si>
    <t xml:space="preserve">No EFMP guidance; PCS transitions not addressed; TRICARE navigation absent; interstate IEP portability not explained</t>
  </si>
  <si>
    <t xml:space="preserve">1) Add Military Family Module; 2) PCS transition checklist; 3) TRICARE navigation guide</t>
  </si>
  <si>
    <t xml:space="preserve">Destiny Carter</t>
  </si>
  <si>
    <t xml:space="preserve">Stockton</t>
  </si>
  <si>
    <t xml:space="preserve">San Joaquin</t>
  </si>
  <si>
    <t xml:space="preserve">3yo (Zion)</t>
  </si>
  <si>
    <t xml:space="preserve">Epilepsy/Cerebral Palsy</t>
  </si>
  <si>
    <t xml:space="preserve">$22K</t>
  </si>
  <si>
    <t xml:space="preserve">24yo single mom, 8-12 appointments/month</t>
  </si>
  <si>
    <t xml:space="preserve">Appointment management overwhelm (8-12 per month) not addressed; IHSS and CCS eligibility unknown</t>
  </si>
  <si>
    <t xml:space="preserve">No IHSS application walkthrough; CCS (California Children's Services) not mentioned; appointment batching not supported; working parent barriers ignored</t>
  </si>
  <si>
    <t xml:space="preserve">1) Add IHSS walkthrough; 2) Implement Appointment Tracker; 3) Add CCS eligibility checker</t>
  </si>
  <si>
    <t xml:space="preserve">James &amp; Sarah Mitchell</t>
  </si>
  <si>
    <t xml:space="preserve">Redding</t>
  </si>
  <si>
    <t xml:space="preserve">Shasta</t>
  </si>
  <si>
    <t xml:space="preserve">12yo (Emma)</t>
  </si>
  <si>
    <t xml:space="preserve">Autism + Intellectual Disability</t>
  </si>
  <si>
    <t xml:space="preserve">$85K</t>
  </si>
  <si>
    <t xml:space="preserve">Rural, nonverbal with AAC, illegal seclusion, RC service delays</t>
  </si>
  <si>
    <t xml:space="preserve">Rural service delivery gap and illegal seclusion practice require specialized guidance</t>
  </si>
  <si>
    <t xml:space="preserve">"Authorized but undelivered" RC services problem not addressed; AAC funding navigation missing; offline capability absent for unreliable internet</t>
  </si>
  <si>
    <t xml:space="preserve">1) Add rural service guidance; 2) Surface seclusion prohibition immediately; 3) Implement offline PWA mode</t>
  </si>
  <si>
    <t xml:space="preserve">Anh &amp; Minh Tran</t>
  </si>
  <si>
    <t xml:space="preserve">Westminster</t>
  </si>
  <si>
    <t xml:space="preserve">Orange</t>
  </si>
  <si>
    <t xml:space="preserve">9yo (Brandon)</t>
  </si>
  <si>
    <t xml:space="preserve">Other Health Impairment/TBI</t>
  </si>
  <si>
    <t xml:space="preserve">$48K</t>
  </si>
  <si>
    <t xml:space="preserve">Vietnamese grandparents (68/70), suspension at 8-day, manifestation determination urgency</t>
  </si>
  <si>
    <t xml:space="preserve">Vietnamese language gap + manifestation determination deadline urgency create crisis scenario</t>
  </si>
  <si>
    <t xml:space="preserve">Zero Vietnamese language support; manifestation determination urgency routing missing; kinship care scenario not addressed; TBI-specific guidance minimal</t>
  </si>
  <si>
    <t xml:space="preserve">1) Implement Vietnamese support; 2) Add manifestation determination urgency routing; 3) Add kinship care onboarding</t>
  </si>
  <si>
    <t xml:space="preserve">Alexis Rivera-Dubois</t>
  </si>
  <si>
    <t xml:space="preserve">Oakland</t>
  </si>
  <si>
    <t xml:space="preserve">Alameda</t>
  </si>
  <si>
    <t xml:space="preserve">6yo (Juni)</t>
  </si>
  <si>
    <t xml:space="preserve">Autism + Speech-Language Impairment</t>
  </si>
  <si>
    <t xml:space="preserve">$89K</t>
  </si>
  <si>
    <t xml:space="preserve">Nonbinary single parent, RCEB complaints, IHSS denied</t>
  </si>
  <si>
    <t xml:space="preserve">Multiple denials and appeals require step-by-step guidance not currently provided</t>
  </si>
  <si>
    <t xml:space="preserve">DDS complaint process not walked through; AAC evaluation request template missing; IHSS appeal process not detailed; K→1st transition missing</t>
  </si>
  <si>
    <t xml:space="preserve">1) Add DDS complaint walkthrough; 2) Add AAC evaluation template; 3) Add IHSS appeal process</t>
  </si>
  <si>
    <t xml:space="preserve">Phase</t>
  </si>
  <si>
    <t xml:space="preserve">Effort</t>
  </si>
  <si>
    <t xml:space="preserve">Impact Score</t>
  </si>
  <si>
    <t xml:space="preserve">Personas Helped</t>
  </si>
  <si>
    <t xml:space="preserve">Rationale</t>
  </si>
  <si>
    <t xml:space="preserve">Phase 1: Immediate</t>
  </si>
  <si>
    <t xml:space="preserve">1, 5, 30% of CA population</t>
  </si>
  <si>
    <t xml:space="preserve">Spanish speakers have zero usability past onboarding. Highest accessibility barrier.</t>
  </si>
  <si>
    <t xml:space="preserve">2, 4, all ADHD/SLD users</t>
  </si>
  <si>
    <t xml:space="preserve">Incorrect eligibility filtering causes months of wasted pursuit.</t>
  </si>
  <si>
    <t xml:space="preserve">All 10 personas</t>
  </si>
  <si>
    <t xml:space="preserve">Browser clear or device switch = total loss of weeks of work.</t>
  </si>
  <si>
    <t xml:space="preserve">9, 8% of CA population</t>
  </si>
  <si>
    <t xml:space="preserve">Vietnamese grandparents at manifestation determination deadline.</t>
  </si>
  <si>
    <t xml:space="preserve">Phase 2: Medium-term</t>
  </si>
  <si>
    <t xml:space="preserve">7, 8, all appointment-heavy users</t>
  </si>
  <si>
    <t xml:space="preserve">Parents juggle 8-12 appointments/month with no tracking or reminder system.</t>
  </si>
  <si>
    <t xml:space="preserve">Service tracking and renewal alerts prevent authorization lapses.</t>
  </si>
  <si>
    <t xml:space="preserve">Detailed templates for escalation actions (4731, IHSS appeal, DDS complaint).</t>
  </si>
  <si>
    <t xml:space="preserve">All, especially 3, 8, 10</t>
  </si>
  <si>
    <t xml:space="preserve">Centralized document storage prevents manual file management chaos.</t>
  </si>
  <si>
    <t xml:space="preserve">All (especially 5, 6, 7, 8, 9)</t>
  </si>
  <si>
    <t xml:space="preserve">Captures immigration, military, family structure, rural location, etc.</t>
  </si>
  <si>
    <t xml:space="preserve">Phase 3: Long-term</t>
  </si>
  <si>
    <t xml:space="preserve">Rural users with unreliable internet can work offline.</t>
  </si>
  <si>
    <t xml:space="preserve">6, 5-8% of CA population</t>
  </si>
  <si>
    <t xml:space="preserve">EFMP, PCS, TRICARE guidance prevents military-specific service gaps.</t>
  </si>
  <si>
    <t xml:space="preserve">Peer Connection Network</t>
  </si>
  <si>
    <t xml:space="preserve">Anonymized peer matching combats isolation among vulnerable families.</t>
  </si>
  <si>
    <t xml:space="preserve">Theme #</t>
  </si>
  <si>
    <t xml:space="preserve">Theme Name</t>
  </si>
  <si>
    <t xml:space="preserve">Related Findings</t>
  </si>
  <si>
    <t xml:space="preserve">Recommended Action</t>
  </si>
  <si>
    <t xml:space="preserve">Language Access Barriers</t>
  </si>
  <si>
    <t xml:space="preserve">Spanish-only landing page creates illusion of accessibility. Non-English-fluent users cannot use app past onboarding. Vietnamese, Tagalog, Mandarin, Cantonese speakers have zero access.</t>
  </si>
  <si>
    <t xml:space="preserve">1, 5, 9, 8% Vietnamese</t>
  </si>
  <si>
    <t xml:space="preserve">BUG-01, IMP-01, IMP-02</t>
  </si>
  <si>
    <t xml:space="preserve">Implement full i18n for EN, ES, VI, TL, ZH. Budget: 8-12 weeks, $40-60K.</t>
  </si>
  <si>
    <t xml:space="preserve">Data Persistence Failures</t>
  </si>
  <si>
    <t xml:space="preserve">localStorage-only storage means device switching, browser clearing, or incognito mode = total progress loss. No offline capability means rural users lose work mid-session.</t>
  </si>
  <si>
    <t xml:space="preserve">BUG-03, BUG-04, FEAT-11</t>
  </si>
  <si>
    <t xml:space="preserve">Implement server-side persistence + PWA offline mode. Budget: 4-6 weeks, $30-50K.</t>
  </si>
  <si>
    <t xml:space="preserve">Diagnosis-to-Service Mapping Failures</t>
  </si>
  <si>
    <t xml:space="preserve">App generates action plans without filtering by diagnosis eligibility. ADHD users directed to RC (ineligible). Autism users told RC might deny them (should appeal). SLD users get minimal content.</t>
  </si>
  <si>
    <t xml:space="preserve">2, 3, 4, 6</t>
  </si>
  <si>
    <t xml:space="preserve">BUG-05, IMP-02</t>
  </si>
  <si>
    <t xml:space="preserve">Build eligibility matrix for every diagnosis. Budget: 2-3 weeks, $15-20K.</t>
  </si>
  <si>
    <t xml:space="preserve">Appointment and Service Coordination Overwhelm</t>
  </si>
  <si>
    <t xml:space="preserve">Many users juggle 8+ appointments/month across RC, school, medical, therapy. App provides action lists but no appointment tracker, no reminder system, no prep guidance.</t>
  </si>
  <si>
    <t xml:space="preserve">BUG-08, FEAT-02, FEAT-04</t>
  </si>
  <si>
    <t xml:space="preserve">Implement Appointment Tracker + Service Dashboard + SMS reminders. Budget: 6-8 weeks, $40-60K.</t>
  </si>
  <si>
    <t xml:space="preserve">Escalation and Complaint Navigation Gaps</t>
  </si>
  <si>
    <t xml:space="preserve">App mentions escalation paths (4731, fair hearing, OCR) but doesn't walk users through them step-by-step. Users don't know when/how to escalate effectively.</t>
  </si>
  <si>
    <t xml:space="preserve">3, 8, 9, 10</t>
  </si>
  <si>
    <t xml:space="preserve">IMP-13, IMP-19, IMP-20</t>
  </si>
  <si>
    <t xml:space="preserve">Create detailed guides for each complaint type (4731, fair hearing, IHSS appeal, DDS complaint). Budget: 3-4 weeks, $20-30K.</t>
  </si>
  <si>
    <t xml:space="preserve">Underrepresentation of Special Education Categories</t>
  </si>
  <si>
    <t xml:space="preserve">App emphasizes autism heavily. SLD (35% of SpEd), SLI, ADHD, OHI/medical disabilities get minimal content. Parents of non-autism children feel unaddressed.</t>
  </si>
  <si>
    <t xml:space="preserve">1, 3, 4, 7, 10</t>
  </si>
  <si>
    <t xml:space="preserve">IMP-02, IMP-03</t>
  </si>
  <si>
    <t xml:space="preserve">Audit all 13 IDEA categories. Ensure equal representation. Budget: 2-3 weeks, $15-20K.</t>
  </si>
  <si>
    <t xml:space="preserve">Demographic Blind Spots</t>
  </si>
  <si>
    <t xml:space="preserve">Onboarding captures diagnosis, age, RC status, IEP status, insurance. Misses: immigration, military status, family structure, rural location, parent disability, kinship care, language preference.</t>
  </si>
  <si>
    <t xml:space="preserve">5, 6, 7, 8, 9, 10</t>
  </si>
  <si>
    <t xml:space="preserve">IMP-03, IMP-04</t>
  </si>
  <si>
    <t xml:space="preserve">Expand onboarding to capture demographics. Customize action plans accordingly. Budget: 3-4 weeks, $20-30K.</t>
  </si>
  <si>
    <t xml:space="preserve">Missing Integration with External Systems</t>
  </si>
  <si>
    <t xml:space="preserve">Most parent work happens in school portals, RC case management, IHSS, insurance. Waypoint doesn't integrate. Becomes duplicative info management rather than unified hub.</t>
  </si>
  <si>
    <t xml:space="preserve">Pursue API partnerships (school IEP portals, RC, IHSS, Medi-Cal). Budget: 12-16 weeks, $80-120K.</t>
  </si>
  <si>
    <t xml:space="preserve">Emotional Support and Peer Connection Absent</t>
  </si>
  <si>
    <t xml:space="preserve">Parents managing disability navigation feel isolated. App provides information but not community/emotional support. Users solve problems alone; burnout high.</t>
  </si>
  <si>
    <t xml:space="preserve">1, 5, 7, 9, 10</t>
  </si>
  <si>
    <t xml:space="preserve">Implement anonymized peer matching + discussion boards. Budget: 6-8 weeks, $40-60K.</t>
  </si>
  <si>
    <t xml:space="preserve">Lack of Outcome Tracking and Progress Visibility</t>
  </si>
  <si>
    <t xml:space="preserve">App tracks "completed" actions but doesn't show timeline, outcomes, or visualization. Users can't see months of work. Feel like making no progress.</t>
  </si>
  <si>
    <t xml:space="preserve">IMP-14, FEAT-10</t>
  </si>
  <si>
    <t xml:space="preserve">Add completion timestamps, history timeline, progress report export, journey visualization. Budget: 3-4 weeks, $20-30K.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</si>
</sst>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CD5B4"/>
      </patternFill>
    </fill>
    <fill>
      <patternFill patternType="solid">
        <fgColor rgb="FFFCD5B4"/>
        <bgColor rgb="FFFFC7CE"/>
      </patternFill>
    </fill>
    <fill>
      <patternFill patternType="solid">
        <fgColor rgb="FFFFEB9C"/>
        <bgColor rgb="FFFCD5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4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6.2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46.25" hidden="false" customHeight="false" outlineLevel="0" collapsed="false">
      <c r="A3" s="3" t="s">
        <v>16</v>
      </c>
      <c r="B3" s="3" t="s">
        <v>9</v>
      </c>
      <c r="C3" s="4" t="s">
        <v>10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15</v>
      </c>
    </row>
    <row r="4" customFormat="false" ht="46.25" hidden="false" customHeight="false" outlineLevel="0" collapsed="false">
      <c r="A4" s="2" t="s">
        <v>21</v>
      </c>
      <c r="B4" s="2" t="s">
        <v>9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20</v>
      </c>
      <c r="H4" s="2" t="s">
        <v>15</v>
      </c>
    </row>
    <row r="5" customFormat="false" ht="35.05" hidden="false" customHeight="false" outlineLevel="0" collapsed="false">
      <c r="A5" s="3" t="s">
        <v>25</v>
      </c>
      <c r="B5" s="3" t="s">
        <v>9</v>
      </c>
      <c r="C5" s="5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customFormat="false" ht="46.25" hidden="false" customHeight="false" outlineLevel="0" collapsed="false">
      <c r="A6" s="2" t="s">
        <v>32</v>
      </c>
      <c r="B6" s="2" t="s">
        <v>9</v>
      </c>
      <c r="C6" s="2" t="s">
        <v>10</v>
      </c>
      <c r="D6" s="2" t="s">
        <v>33</v>
      </c>
      <c r="E6" s="2" t="s">
        <v>34</v>
      </c>
      <c r="F6" s="2" t="s">
        <v>13</v>
      </c>
      <c r="G6" s="2" t="s">
        <v>35</v>
      </c>
      <c r="H6" s="2" t="s">
        <v>15</v>
      </c>
    </row>
    <row r="7" customFormat="false" ht="46.25" hidden="false" customHeight="false" outlineLevel="0" collapsed="false">
      <c r="A7" s="3" t="s">
        <v>36</v>
      </c>
      <c r="B7" s="3" t="s">
        <v>9</v>
      </c>
      <c r="C7" s="5" t="s">
        <v>26</v>
      </c>
      <c r="D7" s="3" t="s">
        <v>37</v>
      </c>
      <c r="E7" s="3" t="s">
        <v>38</v>
      </c>
      <c r="F7" s="3" t="s">
        <v>24</v>
      </c>
      <c r="G7" s="3" t="s">
        <v>20</v>
      </c>
      <c r="H7" s="3" t="s">
        <v>15</v>
      </c>
    </row>
    <row r="8" customFormat="false" ht="35.05" hidden="false" customHeight="false" outlineLevel="0" collapsed="false">
      <c r="A8" s="2" t="s">
        <v>39</v>
      </c>
      <c r="B8" s="2" t="s">
        <v>9</v>
      </c>
      <c r="C8" s="2" t="s">
        <v>13</v>
      </c>
      <c r="D8" s="2" t="s">
        <v>40</v>
      </c>
      <c r="E8" s="2" t="s">
        <v>41</v>
      </c>
      <c r="F8" s="2" t="s">
        <v>19</v>
      </c>
      <c r="G8" s="2" t="s">
        <v>20</v>
      </c>
      <c r="H8" s="2" t="s">
        <v>31</v>
      </c>
    </row>
    <row r="9" customFormat="false" ht="35.05" hidden="false" customHeight="false" outlineLevel="0" collapsed="false">
      <c r="A9" s="3" t="s">
        <v>42</v>
      </c>
      <c r="B9" s="3" t="s">
        <v>9</v>
      </c>
      <c r="C9" s="6" t="s">
        <v>13</v>
      </c>
      <c r="D9" s="3" t="s">
        <v>43</v>
      </c>
      <c r="E9" s="3" t="s">
        <v>44</v>
      </c>
      <c r="F9" s="3" t="s">
        <v>13</v>
      </c>
      <c r="G9" s="3" t="s">
        <v>45</v>
      </c>
      <c r="H9" s="3" t="s">
        <v>31</v>
      </c>
    </row>
    <row r="10" customFormat="false" ht="46.25" hidden="false" customHeight="false" outlineLevel="0" collapsed="false">
      <c r="A10" s="2" t="s">
        <v>46</v>
      </c>
      <c r="B10" s="2" t="s">
        <v>47</v>
      </c>
      <c r="C10" s="2" t="s">
        <v>26</v>
      </c>
      <c r="D10" s="2" t="s">
        <v>48</v>
      </c>
      <c r="E10" s="2" t="s">
        <v>49</v>
      </c>
      <c r="F10" s="2" t="s">
        <v>13</v>
      </c>
      <c r="G10" s="2" t="s">
        <v>50</v>
      </c>
      <c r="H10" s="2" t="s">
        <v>15</v>
      </c>
    </row>
    <row r="11" customFormat="false" ht="35.05" hidden="false" customHeight="false" outlineLevel="0" collapsed="false">
      <c r="A11" s="3" t="s">
        <v>51</v>
      </c>
      <c r="B11" s="3" t="s">
        <v>47</v>
      </c>
      <c r="C11" s="5" t="s">
        <v>26</v>
      </c>
      <c r="D11" s="3" t="s">
        <v>52</v>
      </c>
      <c r="E11" s="3" t="s">
        <v>53</v>
      </c>
      <c r="F11" s="3" t="s">
        <v>24</v>
      </c>
      <c r="G11" s="3" t="s">
        <v>54</v>
      </c>
      <c r="H11" s="3" t="s">
        <v>31</v>
      </c>
    </row>
    <row r="12" customFormat="false" ht="46.25" hidden="false" customHeight="false" outlineLevel="0" collapsed="false">
      <c r="A12" s="2" t="s">
        <v>55</v>
      </c>
      <c r="B12" s="2" t="s">
        <v>47</v>
      </c>
      <c r="C12" s="2" t="s">
        <v>26</v>
      </c>
      <c r="D12" s="2" t="s">
        <v>56</v>
      </c>
      <c r="E12" s="2" t="s">
        <v>57</v>
      </c>
      <c r="F12" s="2" t="s">
        <v>13</v>
      </c>
      <c r="G12" s="2" t="s">
        <v>20</v>
      </c>
      <c r="H12" s="2" t="s">
        <v>15</v>
      </c>
    </row>
    <row r="13" customFormat="false" ht="35.05" hidden="false" customHeight="false" outlineLevel="0" collapsed="false">
      <c r="A13" s="3" t="s">
        <v>58</v>
      </c>
      <c r="B13" s="3" t="s">
        <v>47</v>
      </c>
      <c r="C13" s="5" t="s">
        <v>26</v>
      </c>
      <c r="D13" s="3" t="s">
        <v>59</v>
      </c>
      <c r="E13" s="3" t="s">
        <v>60</v>
      </c>
      <c r="F13" s="3" t="s">
        <v>24</v>
      </c>
      <c r="G13" s="3" t="s">
        <v>61</v>
      </c>
      <c r="H13" s="3" t="s">
        <v>31</v>
      </c>
    </row>
    <row r="14" customFormat="false" ht="35.05" hidden="false" customHeight="false" outlineLevel="0" collapsed="false">
      <c r="A14" s="2" t="s">
        <v>62</v>
      </c>
      <c r="B14" s="2" t="s">
        <v>47</v>
      </c>
      <c r="C14" s="2" t="s">
        <v>13</v>
      </c>
      <c r="D14" s="2" t="s">
        <v>63</v>
      </c>
      <c r="E14" s="2" t="s">
        <v>64</v>
      </c>
      <c r="F14" s="2" t="s">
        <v>19</v>
      </c>
      <c r="G14" s="2" t="s">
        <v>20</v>
      </c>
      <c r="H14" s="2" t="s">
        <v>31</v>
      </c>
    </row>
    <row r="15" customFormat="false" ht="35.05" hidden="false" customHeight="false" outlineLevel="0" collapsed="false">
      <c r="A15" s="3" t="s">
        <v>65</v>
      </c>
      <c r="B15" s="3" t="s">
        <v>47</v>
      </c>
      <c r="C15" s="6" t="s">
        <v>13</v>
      </c>
      <c r="D15" s="3" t="s">
        <v>66</v>
      </c>
      <c r="E15" s="3" t="s">
        <v>67</v>
      </c>
      <c r="F15" s="3" t="s">
        <v>19</v>
      </c>
      <c r="G15" s="3" t="s">
        <v>20</v>
      </c>
      <c r="H15" s="3" t="s">
        <v>31</v>
      </c>
    </row>
    <row r="16" customFormat="false" ht="35.05" hidden="false" customHeight="false" outlineLevel="0" collapsed="false">
      <c r="A16" s="2" t="s">
        <v>68</v>
      </c>
      <c r="B16" s="2" t="s">
        <v>47</v>
      </c>
      <c r="C16" s="2" t="s">
        <v>13</v>
      </c>
      <c r="D16" s="2" t="s">
        <v>69</v>
      </c>
      <c r="E16" s="2" t="s">
        <v>70</v>
      </c>
      <c r="F16" s="2" t="s">
        <v>19</v>
      </c>
      <c r="G16" s="2" t="s">
        <v>71</v>
      </c>
      <c r="H16" s="2" t="s">
        <v>31</v>
      </c>
    </row>
    <row r="17" customFormat="false" ht="35.05" hidden="false" customHeight="false" outlineLevel="0" collapsed="false">
      <c r="A17" s="3" t="s">
        <v>72</v>
      </c>
      <c r="B17" s="3" t="s">
        <v>47</v>
      </c>
      <c r="C17" s="5" t="s">
        <v>26</v>
      </c>
      <c r="D17" s="3" t="s">
        <v>73</v>
      </c>
      <c r="E17" s="3" t="s">
        <v>74</v>
      </c>
      <c r="F17" s="3" t="s">
        <v>13</v>
      </c>
      <c r="G17" s="3" t="s">
        <v>20</v>
      </c>
      <c r="H17" s="3" t="s">
        <v>31</v>
      </c>
    </row>
    <row r="18" customFormat="false" ht="35.05" hidden="false" customHeight="false" outlineLevel="0" collapsed="false">
      <c r="A18" s="2" t="s">
        <v>75</v>
      </c>
      <c r="B18" s="2" t="s">
        <v>47</v>
      </c>
      <c r="C18" s="2" t="s">
        <v>13</v>
      </c>
      <c r="D18" s="2" t="s">
        <v>76</v>
      </c>
      <c r="E18" s="2" t="s">
        <v>77</v>
      </c>
      <c r="F18" s="2" t="s">
        <v>19</v>
      </c>
      <c r="G18" s="2" t="s">
        <v>78</v>
      </c>
      <c r="H18" s="2" t="s">
        <v>31</v>
      </c>
    </row>
    <row r="19" customFormat="false" ht="35.05" hidden="false" customHeight="false" outlineLevel="0" collapsed="false">
      <c r="A19" s="3" t="s">
        <v>79</v>
      </c>
      <c r="B19" s="3" t="s">
        <v>47</v>
      </c>
      <c r="C19" s="6" t="s">
        <v>13</v>
      </c>
      <c r="D19" s="3" t="s">
        <v>80</v>
      </c>
      <c r="E19" s="3" t="s">
        <v>81</v>
      </c>
      <c r="F19" s="3" t="s">
        <v>19</v>
      </c>
      <c r="G19" s="3" t="s">
        <v>20</v>
      </c>
      <c r="H19" s="3" t="s">
        <v>31</v>
      </c>
    </row>
    <row r="20" customFormat="false" ht="35.05" hidden="false" customHeight="false" outlineLevel="0" collapsed="false">
      <c r="A20" s="2" t="s">
        <v>82</v>
      </c>
      <c r="B20" s="2" t="s">
        <v>47</v>
      </c>
      <c r="C20" s="2" t="s">
        <v>13</v>
      </c>
      <c r="D20" s="2" t="s">
        <v>83</v>
      </c>
      <c r="E20" s="2" t="s">
        <v>84</v>
      </c>
      <c r="F20" s="2" t="s">
        <v>19</v>
      </c>
      <c r="G20" s="2" t="s">
        <v>20</v>
      </c>
      <c r="H20" s="2" t="s">
        <v>31</v>
      </c>
    </row>
    <row r="21" customFormat="false" ht="35.05" hidden="false" customHeight="false" outlineLevel="0" collapsed="false">
      <c r="A21" s="3" t="s">
        <v>85</v>
      </c>
      <c r="B21" s="3" t="s">
        <v>47</v>
      </c>
      <c r="C21" s="5" t="s">
        <v>26</v>
      </c>
      <c r="D21" s="3" t="s">
        <v>86</v>
      </c>
      <c r="E21" s="3" t="s">
        <v>87</v>
      </c>
      <c r="F21" s="3" t="s">
        <v>13</v>
      </c>
      <c r="G21" s="3" t="s">
        <v>20</v>
      </c>
      <c r="H21" s="3" t="s">
        <v>15</v>
      </c>
    </row>
    <row r="22" customFormat="false" ht="46.25" hidden="false" customHeight="false" outlineLevel="0" collapsed="false">
      <c r="A22" s="2" t="s">
        <v>88</v>
      </c>
      <c r="B22" s="2" t="s">
        <v>47</v>
      </c>
      <c r="C22" s="2" t="s">
        <v>13</v>
      </c>
      <c r="D22" s="2" t="s">
        <v>89</v>
      </c>
      <c r="E22" s="2" t="s">
        <v>90</v>
      </c>
      <c r="F22" s="2" t="s">
        <v>13</v>
      </c>
      <c r="G22" s="2" t="s">
        <v>91</v>
      </c>
      <c r="H22" s="2" t="s">
        <v>31</v>
      </c>
    </row>
    <row r="23" customFormat="false" ht="35.05" hidden="false" customHeight="false" outlineLevel="0" collapsed="false">
      <c r="A23" s="3" t="s">
        <v>92</v>
      </c>
      <c r="B23" s="3" t="s">
        <v>47</v>
      </c>
      <c r="C23" s="6" t="s">
        <v>13</v>
      </c>
      <c r="D23" s="3" t="s">
        <v>93</v>
      </c>
      <c r="E23" s="3" t="s">
        <v>94</v>
      </c>
      <c r="F23" s="3" t="s">
        <v>19</v>
      </c>
      <c r="G23" s="3" t="s">
        <v>20</v>
      </c>
      <c r="H23" s="3" t="s">
        <v>31</v>
      </c>
    </row>
    <row r="24" customFormat="false" ht="35.05" hidden="false" customHeight="false" outlineLevel="0" collapsed="false">
      <c r="A24" s="2" t="s">
        <v>95</v>
      </c>
      <c r="B24" s="2" t="s">
        <v>47</v>
      </c>
      <c r="C24" s="2" t="s">
        <v>13</v>
      </c>
      <c r="D24" s="2" t="s">
        <v>96</v>
      </c>
      <c r="E24" s="2" t="s">
        <v>97</v>
      </c>
      <c r="F24" s="2" t="s">
        <v>19</v>
      </c>
      <c r="G24" s="2" t="s">
        <v>91</v>
      </c>
      <c r="H24" s="2" t="s">
        <v>31</v>
      </c>
    </row>
    <row r="25" customFormat="false" ht="35.05" hidden="false" customHeight="false" outlineLevel="0" collapsed="false">
      <c r="A25" s="3" t="s">
        <v>98</v>
      </c>
      <c r="B25" s="3" t="s">
        <v>47</v>
      </c>
      <c r="C25" s="6" t="s">
        <v>13</v>
      </c>
      <c r="D25" s="3" t="s">
        <v>99</v>
      </c>
      <c r="E25" s="3" t="s">
        <v>100</v>
      </c>
      <c r="F25" s="3" t="s">
        <v>19</v>
      </c>
      <c r="G25" s="3" t="s">
        <v>101</v>
      </c>
      <c r="H25" s="3" t="s">
        <v>31</v>
      </c>
    </row>
    <row r="26" customFormat="false" ht="35.05" hidden="false" customHeight="false" outlineLevel="0" collapsed="false">
      <c r="A26" s="2" t="s">
        <v>102</v>
      </c>
      <c r="B26" s="2" t="s">
        <v>47</v>
      </c>
      <c r="C26" s="2" t="s">
        <v>13</v>
      </c>
      <c r="D26" s="2" t="s">
        <v>103</v>
      </c>
      <c r="E26" s="2" t="s">
        <v>104</v>
      </c>
      <c r="F26" s="2" t="s">
        <v>13</v>
      </c>
      <c r="G26" s="2" t="s">
        <v>105</v>
      </c>
      <c r="H26" s="2" t="s">
        <v>31</v>
      </c>
    </row>
    <row r="27" customFormat="false" ht="35.05" hidden="false" customHeight="false" outlineLevel="0" collapsed="false">
      <c r="A27" s="3" t="s">
        <v>106</v>
      </c>
      <c r="B27" s="3" t="s">
        <v>47</v>
      </c>
      <c r="C27" s="3" t="s">
        <v>107</v>
      </c>
      <c r="D27" s="3" t="s">
        <v>108</v>
      </c>
      <c r="E27" s="3" t="s">
        <v>109</v>
      </c>
      <c r="F27" s="3" t="s">
        <v>19</v>
      </c>
      <c r="G27" s="3" t="s">
        <v>20</v>
      </c>
      <c r="H27" s="3" t="s">
        <v>110</v>
      </c>
    </row>
    <row r="28" customFormat="false" ht="35.05" hidden="false" customHeight="false" outlineLevel="0" collapsed="false">
      <c r="A28" s="2" t="s">
        <v>111</v>
      </c>
      <c r="B28" s="2" t="s">
        <v>47</v>
      </c>
      <c r="C28" s="2" t="s">
        <v>26</v>
      </c>
      <c r="D28" s="2" t="s">
        <v>112</v>
      </c>
      <c r="E28" s="2" t="s">
        <v>113</v>
      </c>
      <c r="F28" s="2" t="s">
        <v>19</v>
      </c>
      <c r="G28" s="2" t="s">
        <v>114</v>
      </c>
      <c r="H28" s="2" t="s">
        <v>15</v>
      </c>
    </row>
    <row r="29" customFormat="false" ht="35.05" hidden="false" customHeight="false" outlineLevel="0" collapsed="false">
      <c r="A29" s="3" t="s">
        <v>115</v>
      </c>
      <c r="B29" s="3" t="s">
        <v>47</v>
      </c>
      <c r="C29" s="6" t="s">
        <v>13</v>
      </c>
      <c r="D29" s="3" t="s">
        <v>116</v>
      </c>
      <c r="E29" s="3" t="s">
        <v>117</v>
      </c>
      <c r="F29" s="3" t="s">
        <v>19</v>
      </c>
      <c r="G29" s="3" t="s">
        <v>20</v>
      </c>
      <c r="H29" s="3" t="s">
        <v>31</v>
      </c>
    </row>
    <row r="30" customFormat="false" ht="35.05" hidden="false" customHeight="false" outlineLevel="0" collapsed="false">
      <c r="A30" s="2" t="s">
        <v>118</v>
      </c>
      <c r="B30" s="2" t="s">
        <v>47</v>
      </c>
      <c r="C30" s="2" t="s">
        <v>13</v>
      </c>
      <c r="D30" s="2" t="s">
        <v>119</v>
      </c>
      <c r="E30" s="2" t="s">
        <v>120</v>
      </c>
      <c r="F30" s="2" t="s">
        <v>13</v>
      </c>
      <c r="G30" s="2" t="s">
        <v>20</v>
      </c>
      <c r="H30" s="2" t="s">
        <v>31</v>
      </c>
    </row>
    <row r="31" customFormat="false" ht="35.05" hidden="false" customHeight="false" outlineLevel="0" collapsed="false">
      <c r="A31" s="3" t="s">
        <v>121</v>
      </c>
      <c r="B31" s="3" t="s">
        <v>47</v>
      </c>
      <c r="C31" s="6" t="s">
        <v>13</v>
      </c>
      <c r="D31" s="3" t="s">
        <v>122</v>
      </c>
      <c r="E31" s="3" t="s">
        <v>123</v>
      </c>
      <c r="F31" s="3" t="s">
        <v>13</v>
      </c>
      <c r="G31" s="3" t="s">
        <v>20</v>
      </c>
      <c r="H31" s="3" t="s">
        <v>31</v>
      </c>
    </row>
    <row r="32" customFormat="false" ht="35.05" hidden="false" customHeight="false" outlineLevel="0" collapsed="false">
      <c r="A32" s="2" t="s">
        <v>124</v>
      </c>
      <c r="B32" s="2" t="s">
        <v>125</v>
      </c>
      <c r="C32" s="2" t="s">
        <v>26</v>
      </c>
      <c r="D32" s="2" t="s">
        <v>126</v>
      </c>
      <c r="E32" s="2" t="s">
        <v>127</v>
      </c>
      <c r="F32" s="2" t="s">
        <v>29</v>
      </c>
      <c r="G32" s="2" t="s">
        <v>20</v>
      </c>
      <c r="H32" s="2" t="s">
        <v>15</v>
      </c>
    </row>
    <row r="33" customFormat="false" ht="35.05" hidden="false" customHeight="false" outlineLevel="0" collapsed="false">
      <c r="A33" s="3" t="s">
        <v>128</v>
      </c>
      <c r="B33" s="3" t="s">
        <v>125</v>
      </c>
      <c r="C33" s="5" t="s">
        <v>26</v>
      </c>
      <c r="D33" s="3" t="s">
        <v>129</v>
      </c>
      <c r="E33" s="3" t="s">
        <v>130</v>
      </c>
      <c r="F33" s="3" t="s">
        <v>29</v>
      </c>
      <c r="G33" s="3" t="s">
        <v>131</v>
      </c>
      <c r="H33" s="3" t="s">
        <v>15</v>
      </c>
    </row>
    <row r="34" customFormat="false" ht="35.05" hidden="false" customHeight="false" outlineLevel="0" collapsed="false">
      <c r="A34" s="2" t="s">
        <v>132</v>
      </c>
      <c r="B34" s="2" t="s">
        <v>125</v>
      </c>
      <c r="C34" s="2" t="s">
        <v>26</v>
      </c>
      <c r="D34" s="2" t="s">
        <v>133</v>
      </c>
      <c r="E34" s="2" t="s">
        <v>134</v>
      </c>
      <c r="F34" s="2" t="s">
        <v>29</v>
      </c>
      <c r="G34" s="2" t="s">
        <v>61</v>
      </c>
      <c r="H34" s="2" t="s">
        <v>15</v>
      </c>
    </row>
    <row r="35" customFormat="false" ht="35.05" hidden="false" customHeight="false" outlineLevel="0" collapsed="false">
      <c r="A35" s="3" t="s">
        <v>135</v>
      </c>
      <c r="B35" s="3" t="s">
        <v>125</v>
      </c>
      <c r="C35" s="5" t="s">
        <v>26</v>
      </c>
      <c r="D35" s="3" t="s">
        <v>136</v>
      </c>
      <c r="E35" s="3" t="s">
        <v>137</v>
      </c>
      <c r="F35" s="3" t="s">
        <v>29</v>
      </c>
      <c r="G35" s="3" t="s">
        <v>138</v>
      </c>
      <c r="H35" s="3" t="s">
        <v>15</v>
      </c>
    </row>
    <row r="36" customFormat="false" ht="46.25" hidden="false" customHeight="false" outlineLevel="0" collapsed="false">
      <c r="A36" s="2" t="s">
        <v>139</v>
      </c>
      <c r="B36" s="2" t="s">
        <v>125</v>
      </c>
      <c r="C36" s="2" t="s">
        <v>13</v>
      </c>
      <c r="D36" s="2" t="s">
        <v>140</v>
      </c>
      <c r="E36" s="2" t="s">
        <v>141</v>
      </c>
      <c r="F36" s="2" t="s">
        <v>29</v>
      </c>
      <c r="G36" s="2" t="s">
        <v>101</v>
      </c>
      <c r="H36" s="2" t="s">
        <v>31</v>
      </c>
    </row>
    <row r="37" customFormat="false" ht="35.05" hidden="false" customHeight="false" outlineLevel="0" collapsed="false">
      <c r="A37" s="3" t="s">
        <v>142</v>
      </c>
      <c r="B37" s="3" t="s">
        <v>125</v>
      </c>
      <c r="C37" s="6" t="s">
        <v>13</v>
      </c>
      <c r="D37" s="3" t="s">
        <v>143</v>
      </c>
      <c r="E37" s="3" t="s">
        <v>144</v>
      </c>
      <c r="F37" s="3" t="s">
        <v>24</v>
      </c>
      <c r="G37" s="3" t="s">
        <v>145</v>
      </c>
      <c r="H37" s="3" t="s">
        <v>31</v>
      </c>
    </row>
    <row r="38" customFormat="false" ht="46.25" hidden="false" customHeight="false" outlineLevel="0" collapsed="false">
      <c r="A38" s="2" t="s">
        <v>146</v>
      </c>
      <c r="B38" s="2" t="s">
        <v>125</v>
      </c>
      <c r="C38" s="2" t="s">
        <v>13</v>
      </c>
      <c r="D38" s="2" t="s">
        <v>147</v>
      </c>
      <c r="E38" s="2" t="s">
        <v>148</v>
      </c>
      <c r="F38" s="2" t="s">
        <v>13</v>
      </c>
      <c r="G38" s="2" t="s">
        <v>149</v>
      </c>
      <c r="H38" s="2" t="s">
        <v>31</v>
      </c>
    </row>
    <row r="39" customFormat="false" ht="46.25" hidden="false" customHeight="false" outlineLevel="0" collapsed="false">
      <c r="A39" s="3" t="s">
        <v>150</v>
      </c>
      <c r="B39" s="3" t="s">
        <v>125</v>
      </c>
      <c r="C39" s="5" t="s">
        <v>26</v>
      </c>
      <c r="D39" s="3" t="s">
        <v>151</v>
      </c>
      <c r="E39" s="3" t="s">
        <v>152</v>
      </c>
      <c r="F39" s="3" t="s">
        <v>29</v>
      </c>
      <c r="G39" s="3" t="s">
        <v>101</v>
      </c>
      <c r="H39" s="3" t="s">
        <v>15</v>
      </c>
    </row>
    <row r="40" customFormat="false" ht="35.05" hidden="false" customHeight="false" outlineLevel="0" collapsed="false">
      <c r="A40" s="2" t="s">
        <v>153</v>
      </c>
      <c r="B40" s="2" t="s">
        <v>125</v>
      </c>
      <c r="C40" s="2" t="s">
        <v>13</v>
      </c>
      <c r="D40" s="2" t="s">
        <v>154</v>
      </c>
      <c r="E40" s="2" t="s">
        <v>155</v>
      </c>
      <c r="F40" s="2" t="s">
        <v>29</v>
      </c>
      <c r="G40" s="2" t="s">
        <v>156</v>
      </c>
      <c r="H40" s="2" t="s">
        <v>31</v>
      </c>
    </row>
    <row r="41" customFormat="false" ht="46.25" hidden="false" customHeight="false" outlineLevel="0" collapsed="false">
      <c r="A41" s="3" t="s">
        <v>157</v>
      </c>
      <c r="B41" s="3" t="s">
        <v>125</v>
      </c>
      <c r="C41" s="6" t="s">
        <v>13</v>
      </c>
      <c r="D41" s="3" t="s">
        <v>158</v>
      </c>
      <c r="E41" s="3" t="s">
        <v>159</v>
      </c>
      <c r="F41" s="3" t="s">
        <v>13</v>
      </c>
      <c r="G41" s="3" t="s">
        <v>160</v>
      </c>
      <c r="H41" s="3" t="s">
        <v>31</v>
      </c>
    </row>
    <row r="42" customFormat="false" ht="35.05" hidden="false" customHeight="false" outlineLevel="0" collapsed="false">
      <c r="A42" s="2" t="s">
        <v>161</v>
      </c>
      <c r="B42" s="2" t="s">
        <v>125</v>
      </c>
      <c r="C42" s="2" t="s">
        <v>26</v>
      </c>
      <c r="D42" s="2" t="s">
        <v>162</v>
      </c>
      <c r="E42" s="2" t="s">
        <v>163</v>
      </c>
      <c r="F42" s="2" t="s">
        <v>29</v>
      </c>
      <c r="G42" s="2" t="s">
        <v>30</v>
      </c>
      <c r="H42" s="2" t="s">
        <v>31</v>
      </c>
    </row>
    <row r="43" customFormat="false" ht="35.05" hidden="false" customHeight="false" outlineLevel="0" collapsed="false">
      <c r="A43" s="3" t="s">
        <v>164</v>
      </c>
      <c r="B43" s="3" t="s">
        <v>125</v>
      </c>
      <c r="C43" s="6" t="s">
        <v>13</v>
      </c>
      <c r="D43" s="3" t="s">
        <v>165</v>
      </c>
      <c r="E43" s="3" t="s">
        <v>166</v>
      </c>
      <c r="F43" s="3" t="s">
        <v>29</v>
      </c>
      <c r="G43" s="3" t="s">
        <v>167</v>
      </c>
      <c r="H43" s="3" t="s">
        <v>31</v>
      </c>
    </row>
    <row r="44" customFormat="false" ht="46.25" hidden="false" customHeight="false" outlineLevel="0" collapsed="false">
      <c r="A44" s="2" t="s">
        <v>168</v>
      </c>
      <c r="B44" s="2" t="s">
        <v>125</v>
      </c>
      <c r="C44" s="2" t="s">
        <v>26</v>
      </c>
      <c r="D44" s="2" t="s">
        <v>169</v>
      </c>
      <c r="E44" s="2" t="s">
        <v>170</v>
      </c>
      <c r="F44" s="2" t="s">
        <v>29</v>
      </c>
      <c r="G44" s="2" t="s">
        <v>20</v>
      </c>
      <c r="H44" s="2" t="s">
        <v>110</v>
      </c>
    </row>
  </sheetData>
  <autoFilter ref="A1:H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12" min="3" style="0" width="12"/>
  </cols>
  <sheetData>
    <row r="1" customFormat="false" ht="26.85" hidden="false" customHeight="false" outlineLevel="0" collapsed="false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</row>
    <row r="2" customFormat="false" ht="23.85" hidden="false" customHeight="false" outlineLevel="0" collapsed="false">
      <c r="A2" s="7" t="s">
        <v>8</v>
      </c>
      <c r="B2" s="7" t="s">
        <v>11</v>
      </c>
      <c r="C2" s="8" t="s">
        <v>182</v>
      </c>
      <c r="D2" s="8"/>
      <c r="E2" s="8"/>
      <c r="F2" s="8"/>
      <c r="G2" s="8" t="s">
        <v>182</v>
      </c>
      <c r="H2" s="8"/>
      <c r="I2" s="8"/>
      <c r="J2" s="8"/>
      <c r="K2" s="8"/>
      <c r="L2" s="8"/>
    </row>
    <row r="3" customFormat="false" ht="15" hidden="false" customHeight="false" outlineLevel="0" collapsed="false">
      <c r="A3" s="9" t="s">
        <v>16</v>
      </c>
      <c r="B3" s="9" t="s">
        <v>17</v>
      </c>
      <c r="C3" s="10" t="s">
        <v>182</v>
      </c>
      <c r="D3" s="10" t="s">
        <v>182</v>
      </c>
      <c r="E3" s="10" t="s">
        <v>182</v>
      </c>
      <c r="F3" s="10" t="s">
        <v>182</v>
      </c>
      <c r="G3" s="10" t="s">
        <v>182</v>
      </c>
      <c r="H3" s="10" t="s">
        <v>182</v>
      </c>
      <c r="I3" s="10" t="s">
        <v>182</v>
      </c>
      <c r="J3" s="10" t="s">
        <v>182</v>
      </c>
      <c r="K3" s="10" t="s">
        <v>182</v>
      </c>
      <c r="L3" s="10" t="s">
        <v>182</v>
      </c>
    </row>
    <row r="4" customFormat="false" ht="23.85" hidden="false" customHeight="false" outlineLevel="0" collapsed="false">
      <c r="A4" s="7" t="s">
        <v>21</v>
      </c>
      <c r="B4" s="7" t="s">
        <v>22</v>
      </c>
      <c r="C4" s="8" t="s">
        <v>182</v>
      </c>
      <c r="D4" s="8" t="s">
        <v>182</v>
      </c>
      <c r="E4" s="8" t="s">
        <v>182</v>
      </c>
      <c r="F4" s="8" t="s">
        <v>182</v>
      </c>
      <c r="G4" s="8" t="s">
        <v>182</v>
      </c>
      <c r="H4" s="8" t="s">
        <v>182</v>
      </c>
      <c r="I4" s="8" t="s">
        <v>182</v>
      </c>
      <c r="J4" s="8" t="s">
        <v>182</v>
      </c>
      <c r="K4" s="8" t="s">
        <v>182</v>
      </c>
      <c r="L4" s="8" t="s">
        <v>182</v>
      </c>
    </row>
    <row r="5" customFormat="false" ht="15" hidden="false" customHeight="false" outlineLevel="0" collapsed="false">
      <c r="A5" s="9" t="s">
        <v>25</v>
      </c>
      <c r="B5" s="9" t="s">
        <v>27</v>
      </c>
      <c r="C5" s="10"/>
      <c r="D5" s="10"/>
      <c r="E5" s="10"/>
      <c r="F5" s="10"/>
      <c r="G5" s="10"/>
      <c r="H5" s="10"/>
      <c r="I5" s="10" t="s">
        <v>182</v>
      </c>
      <c r="J5" s="10" t="s">
        <v>182</v>
      </c>
      <c r="K5" s="10"/>
      <c r="L5" s="10"/>
    </row>
    <row r="6" customFormat="false" ht="23.85" hidden="false" customHeight="false" outlineLevel="0" collapsed="false">
      <c r="A6" s="7" t="s">
        <v>32</v>
      </c>
      <c r="B6" s="7" t="s">
        <v>33</v>
      </c>
      <c r="C6" s="8"/>
      <c r="D6" s="8" t="s">
        <v>182</v>
      </c>
      <c r="E6" s="8"/>
      <c r="F6" s="8" t="s">
        <v>182</v>
      </c>
      <c r="G6" s="8"/>
      <c r="H6" s="8"/>
      <c r="I6" s="8"/>
      <c r="J6" s="8"/>
      <c r="K6" s="8"/>
      <c r="L6" s="8"/>
    </row>
    <row r="7" customFormat="false" ht="23.85" hidden="false" customHeight="false" outlineLevel="0" collapsed="false">
      <c r="A7" s="9" t="s">
        <v>36</v>
      </c>
      <c r="B7" s="9" t="s">
        <v>37</v>
      </c>
      <c r="C7" s="10" t="s">
        <v>182</v>
      </c>
      <c r="D7" s="10" t="s">
        <v>182</v>
      </c>
      <c r="E7" s="10" t="s">
        <v>182</v>
      </c>
      <c r="F7" s="10" t="s">
        <v>182</v>
      </c>
      <c r="G7" s="10" t="s">
        <v>182</v>
      </c>
      <c r="H7" s="10" t="s">
        <v>182</v>
      </c>
      <c r="I7" s="10" t="s">
        <v>182</v>
      </c>
      <c r="J7" s="10" t="s">
        <v>182</v>
      </c>
      <c r="K7" s="10" t="s">
        <v>182</v>
      </c>
      <c r="L7" s="10" t="s">
        <v>182</v>
      </c>
    </row>
    <row r="8" customFormat="false" ht="15" hidden="false" customHeight="false" outlineLevel="0" collapsed="false">
      <c r="A8" s="7" t="s">
        <v>39</v>
      </c>
      <c r="B8" s="7" t="s">
        <v>40</v>
      </c>
      <c r="C8" s="8" t="s">
        <v>182</v>
      </c>
      <c r="D8" s="8" t="s">
        <v>182</v>
      </c>
      <c r="E8" s="8" t="s">
        <v>182</v>
      </c>
      <c r="F8" s="8" t="s">
        <v>182</v>
      </c>
      <c r="G8" s="8" t="s">
        <v>182</v>
      </c>
      <c r="H8" s="8" t="s">
        <v>182</v>
      </c>
      <c r="I8" s="8" t="s">
        <v>182</v>
      </c>
      <c r="J8" s="8" t="s">
        <v>182</v>
      </c>
      <c r="K8" s="8" t="s">
        <v>182</v>
      </c>
      <c r="L8" s="8" t="s">
        <v>182</v>
      </c>
    </row>
    <row r="9" customFormat="false" ht="23.85" hidden="false" customHeight="false" outlineLevel="0" collapsed="false">
      <c r="A9" s="9" t="s">
        <v>42</v>
      </c>
      <c r="B9" s="9" t="s">
        <v>43</v>
      </c>
      <c r="C9" s="10" t="s">
        <v>182</v>
      </c>
      <c r="D9" s="10"/>
      <c r="E9" s="10" t="s">
        <v>182</v>
      </c>
      <c r="F9" s="10"/>
      <c r="G9" s="10" t="s">
        <v>182</v>
      </c>
      <c r="H9" s="10"/>
      <c r="I9" s="10" t="s">
        <v>182</v>
      </c>
      <c r="J9" s="10"/>
      <c r="K9" s="10" t="s">
        <v>182</v>
      </c>
      <c r="L9" s="10"/>
    </row>
    <row r="10" customFormat="false" ht="15" hidden="false" customHeight="false" outlineLevel="0" collapsed="false">
      <c r="A10" s="7" t="s">
        <v>46</v>
      </c>
      <c r="B10" s="7" t="s">
        <v>48</v>
      </c>
      <c r="C10" s="8"/>
      <c r="D10" s="8"/>
      <c r="E10" s="8"/>
      <c r="F10" s="8"/>
      <c r="G10" s="8"/>
      <c r="H10" s="8"/>
      <c r="I10" s="8"/>
      <c r="J10" s="8"/>
      <c r="K10" s="8" t="s">
        <v>182</v>
      </c>
      <c r="L10" s="8"/>
    </row>
    <row r="11" customFormat="false" ht="23.85" hidden="false" customHeight="false" outlineLevel="0" collapsed="false">
      <c r="A11" s="9" t="s">
        <v>51</v>
      </c>
      <c r="B11" s="9" t="s">
        <v>52</v>
      </c>
      <c r="C11" s="10" t="s">
        <v>182</v>
      </c>
      <c r="D11" s="10" t="s">
        <v>182</v>
      </c>
      <c r="E11" s="10" t="s">
        <v>182</v>
      </c>
      <c r="F11" s="10" t="s">
        <v>182</v>
      </c>
      <c r="G11" s="10" t="s">
        <v>182</v>
      </c>
      <c r="H11" s="10" t="s">
        <v>182</v>
      </c>
      <c r="I11" s="10" t="s">
        <v>182</v>
      </c>
      <c r="J11" s="10" t="s">
        <v>182</v>
      </c>
      <c r="K11" s="10" t="s">
        <v>182</v>
      </c>
      <c r="L11" s="10" t="s">
        <v>182</v>
      </c>
    </row>
    <row r="12" customFormat="false" ht="23.85" hidden="false" customHeight="false" outlineLevel="0" collapsed="false">
      <c r="A12" s="7" t="s">
        <v>55</v>
      </c>
      <c r="B12" s="7" t="s">
        <v>56</v>
      </c>
      <c r="C12" s="8" t="s">
        <v>182</v>
      </c>
      <c r="D12" s="8" t="s">
        <v>182</v>
      </c>
      <c r="E12" s="8" t="s">
        <v>182</v>
      </c>
      <c r="F12" s="8" t="s">
        <v>182</v>
      </c>
      <c r="G12" s="8" t="s">
        <v>182</v>
      </c>
      <c r="H12" s="8" t="s">
        <v>182</v>
      </c>
      <c r="I12" s="8" t="s">
        <v>182</v>
      </c>
      <c r="J12" s="8" t="s">
        <v>182</v>
      </c>
      <c r="K12" s="8" t="s">
        <v>182</v>
      </c>
      <c r="L12" s="8" t="s">
        <v>182</v>
      </c>
    </row>
    <row r="13" customFormat="false" ht="15" hidden="false" customHeight="false" outlineLevel="0" collapsed="false">
      <c r="A13" s="9" t="s">
        <v>58</v>
      </c>
      <c r="B13" s="9" t="s">
        <v>59</v>
      </c>
      <c r="C13" s="10" t="s">
        <v>182</v>
      </c>
      <c r="D13" s="10" t="s">
        <v>182</v>
      </c>
      <c r="E13" s="10" t="s">
        <v>182</v>
      </c>
      <c r="F13" s="10" t="s">
        <v>182</v>
      </c>
      <c r="G13" s="10" t="s">
        <v>182</v>
      </c>
      <c r="H13" s="10" t="s">
        <v>182</v>
      </c>
      <c r="I13" s="10"/>
      <c r="J13" s="10" t="s">
        <v>182</v>
      </c>
      <c r="K13" s="10"/>
      <c r="L13" s="10"/>
    </row>
    <row r="14" customFormat="false" ht="15" hidden="false" customHeight="false" outlineLevel="0" collapsed="false">
      <c r="A14" s="7" t="s">
        <v>62</v>
      </c>
      <c r="B14" s="7" t="s">
        <v>63</v>
      </c>
      <c r="C14" s="8" t="s">
        <v>182</v>
      </c>
      <c r="D14" s="8" t="s">
        <v>182</v>
      </c>
      <c r="E14" s="8" t="s">
        <v>182</v>
      </c>
      <c r="F14" s="8" t="s">
        <v>182</v>
      </c>
      <c r="G14" s="8" t="s">
        <v>182</v>
      </c>
      <c r="H14" s="8" t="s">
        <v>182</v>
      </c>
      <c r="I14" s="8" t="s">
        <v>182</v>
      </c>
      <c r="J14" s="8" t="s">
        <v>182</v>
      </c>
      <c r="K14" s="8" t="s">
        <v>182</v>
      </c>
      <c r="L14" s="8" t="s">
        <v>182</v>
      </c>
    </row>
    <row r="15" customFormat="false" ht="15" hidden="false" customHeight="false" outlineLevel="0" collapsed="false">
      <c r="A15" s="9" t="s">
        <v>65</v>
      </c>
      <c r="B15" s="9" t="s">
        <v>66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</row>
    <row r="16" customFormat="false" ht="23.85" hidden="false" customHeight="false" outlineLevel="0" collapsed="false">
      <c r="A16" s="7" t="s">
        <v>68</v>
      </c>
      <c r="B16" s="7" t="s">
        <v>69</v>
      </c>
      <c r="C16" s="8"/>
      <c r="D16" s="8"/>
      <c r="E16" s="8"/>
      <c r="F16" s="8"/>
      <c r="G16" s="8"/>
      <c r="H16" s="8"/>
      <c r="I16" s="8" t="s">
        <v>182</v>
      </c>
      <c r="J16" s="8" t="s">
        <v>182</v>
      </c>
      <c r="K16" s="8" t="s">
        <v>182</v>
      </c>
      <c r="L16" s="8"/>
    </row>
    <row r="17" customFormat="false" ht="23.85" hidden="false" customHeight="false" outlineLevel="0" collapsed="false">
      <c r="A17" s="9" t="s">
        <v>72</v>
      </c>
      <c r="B17" s="9" t="s">
        <v>73</v>
      </c>
      <c r="C17" s="10" t="s">
        <v>182</v>
      </c>
      <c r="D17" s="10" t="s">
        <v>182</v>
      </c>
      <c r="E17" s="10" t="s">
        <v>182</v>
      </c>
      <c r="F17" s="10" t="s">
        <v>182</v>
      </c>
      <c r="G17" s="10" t="s">
        <v>182</v>
      </c>
      <c r="H17" s="10" t="s">
        <v>182</v>
      </c>
      <c r="I17" s="10" t="s">
        <v>182</v>
      </c>
      <c r="J17" s="10" t="s">
        <v>182</v>
      </c>
      <c r="K17" s="10" t="s">
        <v>182</v>
      </c>
      <c r="L17" s="10" t="s">
        <v>182</v>
      </c>
    </row>
    <row r="18" customFormat="false" ht="23.85" hidden="false" customHeight="false" outlineLevel="0" collapsed="false">
      <c r="A18" s="7" t="s">
        <v>75</v>
      </c>
      <c r="B18" s="7" t="s">
        <v>76</v>
      </c>
      <c r="C18" s="8" t="s">
        <v>182</v>
      </c>
      <c r="D18" s="8"/>
      <c r="E18" s="8"/>
      <c r="F18" s="8"/>
      <c r="G18" s="8"/>
      <c r="H18" s="8"/>
      <c r="I18" s="8"/>
      <c r="J18" s="8" t="s">
        <v>182</v>
      </c>
      <c r="K18" s="8" t="s">
        <v>182</v>
      </c>
      <c r="L18" s="8"/>
    </row>
    <row r="19" customFormat="false" ht="23.85" hidden="false" customHeight="false" outlineLevel="0" collapsed="false">
      <c r="A19" s="9" t="s">
        <v>79</v>
      </c>
      <c r="B19" s="9" t="s">
        <v>80</v>
      </c>
      <c r="C19" s="10" t="s">
        <v>182</v>
      </c>
      <c r="D19" s="10" t="s">
        <v>182</v>
      </c>
      <c r="E19" s="10" t="s">
        <v>182</v>
      </c>
      <c r="F19" s="10" t="s">
        <v>182</v>
      </c>
      <c r="G19" s="10" t="s">
        <v>182</v>
      </c>
      <c r="H19" s="10" t="s">
        <v>182</v>
      </c>
      <c r="I19" s="10" t="s">
        <v>182</v>
      </c>
      <c r="J19" s="10" t="s">
        <v>182</v>
      </c>
      <c r="K19" s="10" t="s">
        <v>182</v>
      </c>
      <c r="L19" s="10" t="s">
        <v>182</v>
      </c>
    </row>
    <row r="20" customFormat="false" ht="15" hidden="false" customHeight="false" outlineLevel="0" collapsed="false">
      <c r="A20" s="7" t="s">
        <v>82</v>
      </c>
      <c r="B20" s="7" t="s">
        <v>83</v>
      </c>
      <c r="C20" s="8" t="s">
        <v>182</v>
      </c>
      <c r="D20" s="8" t="s">
        <v>182</v>
      </c>
      <c r="E20" s="8" t="s">
        <v>182</v>
      </c>
      <c r="F20" s="8" t="s">
        <v>182</v>
      </c>
      <c r="G20" s="8" t="s">
        <v>182</v>
      </c>
      <c r="H20" s="8" t="s">
        <v>182</v>
      </c>
      <c r="I20" s="8" t="s">
        <v>182</v>
      </c>
      <c r="J20" s="8" t="s">
        <v>182</v>
      </c>
      <c r="K20" s="8" t="s">
        <v>182</v>
      </c>
      <c r="L20" s="8" t="s">
        <v>182</v>
      </c>
    </row>
    <row r="21" customFormat="false" ht="15" hidden="false" customHeight="false" outlineLevel="0" collapsed="false">
      <c r="A21" s="9" t="s">
        <v>85</v>
      </c>
      <c r="B21" s="9" t="s">
        <v>86</v>
      </c>
      <c r="C21" s="10" t="s">
        <v>182</v>
      </c>
      <c r="D21" s="10" t="s">
        <v>182</v>
      </c>
      <c r="E21" s="10" t="s">
        <v>182</v>
      </c>
      <c r="F21" s="10" t="s">
        <v>182</v>
      </c>
      <c r="G21" s="10" t="s">
        <v>182</v>
      </c>
      <c r="H21" s="10" t="s">
        <v>182</v>
      </c>
      <c r="I21" s="10" t="s">
        <v>182</v>
      </c>
      <c r="J21" s="10" t="s">
        <v>182</v>
      </c>
      <c r="K21" s="10" t="s">
        <v>182</v>
      </c>
      <c r="L21" s="10" t="s">
        <v>182</v>
      </c>
    </row>
    <row r="22" customFormat="false" ht="15" hidden="false" customHeight="false" outlineLevel="0" collapsed="false">
      <c r="A22" s="7" t="s">
        <v>88</v>
      </c>
      <c r="B22" s="7" t="s">
        <v>89</v>
      </c>
      <c r="C22" s="8"/>
      <c r="D22" s="8"/>
      <c r="E22" s="8" t="s">
        <v>182</v>
      </c>
      <c r="F22" s="8"/>
      <c r="G22" s="8"/>
      <c r="H22" s="8"/>
      <c r="I22" s="8"/>
      <c r="J22" s="8" t="s">
        <v>182</v>
      </c>
      <c r="K22" s="8"/>
      <c r="L22" s="8" t="s">
        <v>182</v>
      </c>
    </row>
    <row r="23" customFormat="false" ht="15" hidden="false" customHeight="false" outlineLevel="0" collapsed="false">
      <c r="A23" s="9" t="s">
        <v>92</v>
      </c>
      <c r="B23" s="9" t="s">
        <v>93</v>
      </c>
      <c r="C23" s="10" t="s">
        <v>182</v>
      </c>
      <c r="D23" s="10" t="s">
        <v>182</v>
      </c>
      <c r="E23" s="10" t="s">
        <v>182</v>
      </c>
      <c r="F23" s="10" t="s">
        <v>182</v>
      </c>
      <c r="G23" s="10" t="s">
        <v>182</v>
      </c>
      <c r="H23" s="10" t="s">
        <v>182</v>
      </c>
      <c r="I23" s="10" t="s">
        <v>182</v>
      </c>
      <c r="J23" s="10" t="s">
        <v>182</v>
      </c>
      <c r="K23" s="10" t="s">
        <v>182</v>
      </c>
      <c r="L23" s="10" t="s">
        <v>182</v>
      </c>
    </row>
    <row r="24" customFormat="false" ht="15" hidden="false" customHeight="false" outlineLevel="0" collapsed="false">
      <c r="A24" s="7" t="s">
        <v>95</v>
      </c>
      <c r="B24" s="7" t="s">
        <v>96</v>
      </c>
      <c r="C24" s="8"/>
      <c r="D24" s="8"/>
      <c r="E24" s="8" t="s">
        <v>182</v>
      </c>
      <c r="F24" s="8"/>
      <c r="G24" s="8"/>
      <c r="H24" s="8"/>
      <c r="I24" s="8"/>
      <c r="J24" s="8" t="s">
        <v>182</v>
      </c>
      <c r="K24" s="8"/>
      <c r="L24" s="8" t="s">
        <v>182</v>
      </c>
    </row>
    <row r="25" customFormat="false" ht="23.85" hidden="false" customHeight="false" outlineLevel="0" collapsed="false">
      <c r="A25" s="9" t="s">
        <v>98</v>
      </c>
      <c r="B25" s="9" t="s">
        <v>99</v>
      </c>
      <c r="C25" s="10" t="s">
        <v>182</v>
      </c>
      <c r="D25" s="10"/>
      <c r="E25" s="10"/>
      <c r="F25" s="10"/>
      <c r="G25" s="10" t="s">
        <v>182</v>
      </c>
      <c r="H25" s="10"/>
      <c r="I25" s="10" t="s">
        <v>182</v>
      </c>
      <c r="J25" s="10"/>
      <c r="K25" s="10" t="s">
        <v>182</v>
      </c>
      <c r="L25" s="10"/>
    </row>
    <row r="26" customFormat="false" ht="23.85" hidden="false" customHeight="false" outlineLevel="0" collapsed="false">
      <c r="A26" s="7" t="s">
        <v>102</v>
      </c>
      <c r="B26" s="7" t="s">
        <v>103</v>
      </c>
      <c r="C26" s="8"/>
      <c r="D26" s="8" t="s">
        <v>182</v>
      </c>
      <c r="E26" s="8" t="s">
        <v>182</v>
      </c>
      <c r="F26" s="8" t="s">
        <v>182</v>
      </c>
      <c r="G26" s="8"/>
      <c r="H26" s="8" t="s">
        <v>182</v>
      </c>
      <c r="I26" s="8"/>
      <c r="J26" s="8" t="s">
        <v>182</v>
      </c>
      <c r="K26" s="8"/>
      <c r="L26" s="8" t="s">
        <v>182</v>
      </c>
    </row>
    <row r="27" customFormat="false" ht="15" hidden="false" customHeight="false" outlineLevel="0" collapsed="false">
      <c r="A27" s="9" t="s">
        <v>106</v>
      </c>
      <c r="B27" s="9" t="s">
        <v>108</v>
      </c>
      <c r="C27" s="10" t="s">
        <v>182</v>
      </c>
      <c r="D27" s="10" t="s">
        <v>182</v>
      </c>
      <c r="E27" s="10" t="s">
        <v>182</v>
      </c>
      <c r="F27" s="10" t="s">
        <v>182</v>
      </c>
      <c r="G27" s="10" t="s">
        <v>182</v>
      </c>
      <c r="H27" s="10" t="s">
        <v>182</v>
      </c>
      <c r="I27" s="10" t="s">
        <v>182</v>
      </c>
      <c r="J27" s="10" t="s">
        <v>182</v>
      </c>
      <c r="K27" s="10" t="s">
        <v>182</v>
      </c>
      <c r="L27" s="10" t="s">
        <v>182</v>
      </c>
    </row>
    <row r="28" customFormat="false" ht="15" hidden="false" customHeight="false" outlineLevel="0" collapsed="false">
      <c r="A28" s="7" t="s">
        <v>111</v>
      </c>
      <c r="B28" s="7" t="s">
        <v>112</v>
      </c>
      <c r="C28" s="8"/>
      <c r="D28" s="8"/>
      <c r="E28" s="8" t="s">
        <v>182</v>
      </c>
      <c r="F28" s="8"/>
      <c r="G28" s="8"/>
      <c r="H28" s="8"/>
      <c r="I28" s="8"/>
      <c r="J28" s="8" t="s">
        <v>182</v>
      </c>
      <c r="K28" s="8" t="s">
        <v>182</v>
      </c>
      <c r="L28" s="8"/>
    </row>
    <row r="29" customFormat="false" ht="23.85" hidden="false" customHeight="false" outlineLevel="0" collapsed="false">
      <c r="A29" s="9" t="s">
        <v>115</v>
      </c>
      <c r="B29" s="9" t="s">
        <v>116</v>
      </c>
      <c r="C29" s="10" t="s">
        <v>182</v>
      </c>
      <c r="D29" s="10" t="s">
        <v>182</v>
      </c>
      <c r="E29" s="10" t="s">
        <v>182</v>
      </c>
      <c r="F29" s="10" t="s">
        <v>182</v>
      </c>
      <c r="G29" s="10" t="s">
        <v>182</v>
      </c>
      <c r="H29" s="10" t="s">
        <v>182</v>
      </c>
      <c r="I29" s="10" t="s">
        <v>182</v>
      </c>
      <c r="J29" s="10" t="s">
        <v>182</v>
      </c>
      <c r="K29" s="10" t="s">
        <v>182</v>
      </c>
      <c r="L29" s="10" t="s">
        <v>182</v>
      </c>
    </row>
    <row r="30" customFormat="false" ht="23.85" hidden="false" customHeight="false" outlineLevel="0" collapsed="false">
      <c r="A30" s="7" t="s">
        <v>118</v>
      </c>
      <c r="B30" s="7" t="s">
        <v>119</v>
      </c>
      <c r="C30" s="8" t="s">
        <v>182</v>
      </c>
      <c r="D30" s="8" t="s">
        <v>182</v>
      </c>
      <c r="E30" s="8" t="s">
        <v>182</v>
      </c>
      <c r="F30" s="8" t="s">
        <v>182</v>
      </c>
      <c r="G30" s="8" t="s">
        <v>182</v>
      </c>
      <c r="H30" s="8" t="s">
        <v>182</v>
      </c>
      <c r="I30" s="8" t="s">
        <v>182</v>
      </c>
      <c r="J30" s="8" t="s">
        <v>182</v>
      </c>
      <c r="K30" s="8" t="s">
        <v>182</v>
      </c>
      <c r="L30" s="8" t="s">
        <v>182</v>
      </c>
    </row>
    <row r="31" customFormat="false" ht="23.85" hidden="false" customHeight="false" outlineLevel="0" collapsed="false">
      <c r="A31" s="9" t="s">
        <v>121</v>
      </c>
      <c r="B31" s="9" t="s">
        <v>122</v>
      </c>
      <c r="C31" s="10" t="s">
        <v>182</v>
      </c>
      <c r="D31" s="10" t="s">
        <v>182</v>
      </c>
      <c r="E31" s="10" t="s">
        <v>182</v>
      </c>
      <c r="F31" s="10" t="s">
        <v>182</v>
      </c>
      <c r="G31" s="10" t="s">
        <v>182</v>
      </c>
      <c r="H31" s="10" t="s">
        <v>182</v>
      </c>
      <c r="I31" s="10" t="s">
        <v>182</v>
      </c>
      <c r="J31" s="10" t="s">
        <v>182</v>
      </c>
      <c r="K31" s="10" t="s">
        <v>182</v>
      </c>
      <c r="L31" s="10" t="s">
        <v>182</v>
      </c>
    </row>
    <row r="32" customFormat="false" ht="15" hidden="false" customHeight="false" outlineLevel="0" collapsed="false">
      <c r="A32" s="7" t="s">
        <v>124</v>
      </c>
      <c r="B32" s="7" t="s">
        <v>126</v>
      </c>
      <c r="C32" s="8" t="s">
        <v>182</v>
      </c>
      <c r="D32" s="8" t="s">
        <v>182</v>
      </c>
      <c r="E32" s="8" t="s">
        <v>182</v>
      </c>
      <c r="F32" s="8" t="s">
        <v>182</v>
      </c>
      <c r="G32" s="8" t="s">
        <v>182</v>
      </c>
      <c r="H32" s="8" t="s">
        <v>182</v>
      </c>
      <c r="I32" s="8" t="s">
        <v>182</v>
      </c>
      <c r="J32" s="8" t="s">
        <v>182</v>
      </c>
      <c r="K32" s="8" t="s">
        <v>182</v>
      </c>
      <c r="L32" s="8" t="s">
        <v>182</v>
      </c>
    </row>
    <row r="33" customFormat="false" ht="23.85" hidden="false" customHeight="false" outlineLevel="0" collapsed="false">
      <c r="A33" s="9" t="s">
        <v>128</v>
      </c>
      <c r="B33" s="9" t="s">
        <v>129</v>
      </c>
      <c r="C33" s="10"/>
      <c r="D33" s="10" t="s">
        <v>182</v>
      </c>
      <c r="E33" s="10"/>
      <c r="F33" s="10"/>
      <c r="G33" s="10"/>
      <c r="H33" s="10"/>
      <c r="I33" s="10" t="s">
        <v>182</v>
      </c>
      <c r="J33" s="10" t="s">
        <v>182</v>
      </c>
      <c r="K33" s="10"/>
      <c r="L33" s="10"/>
    </row>
    <row r="34" customFormat="false" ht="15" hidden="false" customHeight="false" outlineLevel="0" collapsed="false">
      <c r="A34" s="7" t="s">
        <v>132</v>
      </c>
      <c r="B34" s="7" t="s">
        <v>133</v>
      </c>
      <c r="C34" s="8" t="s">
        <v>182</v>
      </c>
      <c r="D34" s="8" t="s">
        <v>182</v>
      </c>
      <c r="E34" s="8" t="s">
        <v>182</v>
      </c>
      <c r="F34" s="8" t="s">
        <v>182</v>
      </c>
      <c r="G34" s="8" t="s">
        <v>182</v>
      </c>
      <c r="H34" s="8" t="s">
        <v>182</v>
      </c>
      <c r="I34" s="8"/>
      <c r="J34" s="8" t="s">
        <v>182</v>
      </c>
      <c r="K34" s="8"/>
      <c r="L34" s="8"/>
    </row>
    <row r="35" customFormat="false" ht="15" hidden="false" customHeight="false" outlineLevel="0" collapsed="false">
      <c r="A35" s="9" t="s">
        <v>135</v>
      </c>
      <c r="B35" s="9" t="s">
        <v>136</v>
      </c>
      <c r="C35" s="10" t="s">
        <v>182</v>
      </c>
      <c r="D35" s="10"/>
      <c r="E35" s="10"/>
      <c r="F35" s="10"/>
      <c r="G35" s="10" t="s">
        <v>182</v>
      </c>
      <c r="H35" s="10"/>
      <c r="I35" s="10" t="s">
        <v>182</v>
      </c>
      <c r="J35" s="10" t="s">
        <v>182</v>
      </c>
      <c r="K35" s="10" t="s">
        <v>182</v>
      </c>
      <c r="L35" s="10"/>
    </row>
    <row r="36" customFormat="false" ht="23.85" hidden="false" customHeight="false" outlineLevel="0" collapsed="false">
      <c r="A36" s="7" t="s">
        <v>139</v>
      </c>
      <c r="B36" s="7" t="s">
        <v>140</v>
      </c>
      <c r="C36" s="8" t="s">
        <v>182</v>
      </c>
      <c r="D36" s="8"/>
      <c r="E36" s="8"/>
      <c r="F36" s="8"/>
      <c r="G36" s="8" t="s">
        <v>182</v>
      </c>
      <c r="H36" s="8"/>
      <c r="I36" s="8" t="s">
        <v>182</v>
      </c>
      <c r="J36" s="8"/>
      <c r="K36" s="8" t="s">
        <v>182</v>
      </c>
      <c r="L36" s="8"/>
    </row>
    <row r="37" customFormat="false" ht="15" hidden="false" customHeight="false" outlineLevel="0" collapsed="false">
      <c r="A37" s="9" t="s">
        <v>142</v>
      </c>
      <c r="B37" s="9" t="s">
        <v>143</v>
      </c>
      <c r="C37" s="10"/>
      <c r="D37" s="10" t="s">
        <v>182</v>
      </c>
      <c r="E37" s="10" t="s">
        <v>182</v>
      </c>
      <c r="F37" s="10"/>
      <c r="G37" s="10"/>
      <c r="H37" s="10"/>
      <c r="I37" s="10"/>
      <c r="J37" s="10" t="s">
        <v>182</v>
      </c>
      <c r="K37" s="10"/>
      <c r="L37" s="10"/>
    </row>
    <row r="38" customFormat="false" ht="15" hidden="false" customHeight="false" outlineLevel="0" collapsed="false">
      <c r="A38" s="7" t="s">
        <v>146</v>
      </c>
      <c r="B38" s="7" t="s">
        <v>147</v>
      </c>
      <c r="C38" s="8"/>
      <c r="D38" s="8" t="s">
        <v>182</v>
      </c>
      <c r="E38" s="8" t="s">
        <v>182</v>
      </c>
      <c r="F38" s="8"/>
      <c r="G38" s="8"/>
      <c r="H38" s="8"/>
      <c r="I38" s="8"/>
      <c r="J38" s="8" t="s">
        <v>182</v>
      </c>
      <c r="K38" s="8"/>
      <c r="L38" s="8" t="s">
        <v>182</v>
      </c>
    </row>
    <row r="39" customFormat="false" ht="15" hidden="false" customHeight="false" outlineLevel="0" collapsed="false">
      <c r="A39" s="9" t="s">
        <v>150</v>
      </c>
      <c r="B39" s="9" t="s">
        <v>151</v>
      </c>
      <c r="C39" s="10" t="s">
        <v>182</v>
      </c>
      <c r="D39" s="10"/>
      <c r="E39" s="10"/>
      <c r="F39" s="10"/>
      <c r="G39" s="10" t="s">
        <v>182</v>
      </c>
      <c r="H39" s="10"/>
      <c r="I39" s="10" t="s">
        <v>182</v>
      </c>
      <c r="J39" s="10"/>
      <c r="K39" s="10" t="s">
        <v>182</v>
      </c>
      <c r="L39" s="10"/>
    </row>
    <row r="40" customFormat="false" ht="15" hidden="false" customHeight="false" outlineLevel="0" collapsed="false">
      <c r="A40" s="7" t="s">
        <v>153</v>
      </c>
      <c r="B40" s="7" t="s">
        <v>154</v>
      </c>
      <c r="C40" s="8"/>
      <c r="D40" s="8"/>
      <c r="E40" s="8"/>
      <c r="F40" s="8"/>
      <c r="G40" s="8"/>
      <c r="H40" s="8" t="s">
        <v>182</v>
      </c>
      <c r="I40" s="8"/>
      <c r="J40" s="8"/>
      <c r="K40" s="8"/>
      <c r="L40" s="8"/>
    </row>
    <row r="41" customFormat="false" ht="23.85" hidden="false" customHeight="false" outlineLevel="0" collapsed="false">
      <c r="A41" s="9" t="s">
        <v>157</v>
      </c>
      <c r="B41" s="9" t="s">
        <v>158</v>
      </c>
      <c r="C41" s="10"/>
      <c r="D41" s="10"/>
      <c r="E41" s="10"/>
      <c r="F41" s="10" t="s">
        <v>182</v>
      </c>
      <c r="G41" s="10"/>
      <c r="H41" s="10"/>
      <c r="I41" s="10"/>
      <c r="J41" s="10" t="s">
        <v>182</v>
      </c>
      <c r="K41" s="10"/>
      <c r="L41" s="10"/>
    </row>
    <row r="42" customFormat="false" ht="15" hidden="false" customHeight="false" outlineLevel="0" collapsed="false">
      <c r="A42" s="7" t="s">
        <v>161</v>
      </c>
      <c r="B42" s="7" t="s">
        <v>162</v>
      </c>
      <c r="C42" s="8"/>
      <c r="D42" s="8"/>
      <c r="E42" s="8"/>
      <c r="F42" s="8"/>
      <c r="G42" s="8"/>
      <c r="H42" s="8"/>
      <c r="I42" s="8" t="s">
        <v>182</v>
      </c>
      <c r="J42" s="8" t="s">
        <v>182</v>
      </c>
      <c r="K42" s="8"/>
      <c r="L42" s="8"/>
    </row>
    <row r="43" customFormat="false" ht="15" hidden="false" customHeight="false" outlineLevel="0" collapsed="false">
      <c r="A43" s="9" t="s">
        <v>164</v>
      </c>
      <c r="B43" s="9" t="s">
        <v>165</v>
      </c>
      <c r="C43" s="10"/>
      <c r="D43" s="10" t="s">
        <v>182</v>
      </c>
      <c r="E43" s="10"/>
      <c r="F43" s="10"/>
      <c r="G43" s="10" t="s">
        <v>182</v>
      </c>
      <c r="H43" s="10" t="s">
        <v>182</v>
      </c>
      <c r="I43" s="10" t="s">
        <v>182</v>
      </c>
      <c r="J43" s="10"/>
      <c r="K43" s="10" t="s">
        <v>182</v>
      </c>
      <c r="L43" s="10"/>
    </row>
    <row r="44" customFormat="false" ht="15" hidden="false" customHeight="false" outlineLevel="0" collapsed="false">
      <c r="A44" s="7" t="s">
        <v>168</v>
      </c>
      <c r="B44" s="7" t="s">
        <v>169</v>
      </c>
      <c r="C44" s="8" t="s">
        <v>182</v>
      </c>
      <c r="D44" s="8" t="s">
        <v>182</v>
      </c>
      <c r="E44" s="8" t="s">
        <v>182</v>
      </c>
      <c r="F44" s="8" t="s">
        <v>182</v>
      </c>
      <c r="G44" s="8" t="s">
        <v>182</v>
      </c>
      <c r="H44" s="8" t="s">
        <v>182</v>
      </c>
      <c r="I44" s="8" t="s">
        <v>182</v>
      </c>
      <c r="J44" s="8" t="s">
        <v>182</v>
      </c>
      <c r="K44" s="8" t="s">
        <v>182</v>
      </c>
      <c r="L44" s="8" t="s">
        <v>182</v>
      </c>
    </row>
    <row r="45" customFormat="false" ht="15" hidden="false" customHeight="false" outlineLevel="0" collapsed="false">
      <c r="A45" s="11" t="s">
        <v>183</v>
      </c>
      <c r="C45" s="0" t="n">
        <f aca="false">COUNTIF(C2:C44,"X")</f>
        <v>28</v>
      </c>
      <c r="D45" s="0" t="n">
        <f aca="false">COUNTIF(D2:D44,"X")</f>
        <v>27</v>
      </c>
      <c r="E45" s="0" t="n">
        <f aca="false">COUNTIF(E2:E44,"X")</f>
        <v>28</v>
      </c>
      <c r="F45" s="0" t="n">
        <f aca="false">COUNTIF(F2:F44,"X")</f>
        <v>24</v>
      </c>
      <c r="G45" s="0" t="n">
        <f aca="false">COUNTIF(G2:G44,"X")</f>
        <v>28</v>
      </c>
      <c r="H45" s="0" t="n">
        <f aca="false">COUNTIF(H2:H44,"X")</f>
        <v>24</v>
      </c>
      <c r="I45" s="0" t="n">
        <f aca="false">COUNTIF(I2:I44,"X")</f>
        <v>29</v>
      </c>
      <c r="J45" s="0" t="n">
        <f aca="false">COUNTIF(J2:J44,"X")</f>
        <v>34</v>
      </c>
      <c r="K45" s="0" t="n">
        <f aca="false">COUNTIF(K2:K44,"X")</f>
        <v>29</v>
      </c>
      <c r="L45" s="0" t="n">
        <f aca="false">COUNTIF(L2:L44,"X")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35"/>
    <col collapsed="false" customWidth="true" hidden="false" outlineLevel="0" max="11" min="11" style="0" width="40"/>
    <col collapsed="false" customWidth="true" hidden="false" outlineLevel="0" max="12" min="12" style="0" width="10"/>
  </cols>
  <sheetData>
    <row r="1" customFormat="false" ht="26.85" hidden="false" customHeight="false" outlineLevel="0" collapsed="false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</row>
    <row r="2" customFormat="false" ht="46.25" hidden="false" customHeight="false" outlineLevel="0" collapsed="false">
      <c r="A2" s="2" t="n">
        <v>1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200</v>
      </c>
      <c r="G2" s="2" t="s">
        <v>201</v>
      </c>
      <c r="H2" s="2" t="s">
        <v>202</v>
      </c>
      <c r="I2" s="2" t="s">
        <v>203</v>
      </c>
      <c r="J2" s="2" t="s">
        <v>204</v>
      </c>
      <c r="K2" s="2" t="s">
        <v>205</v>
      </c>
      <c r="L2" s="2" t="n">
        <v>31</v>
      </c>
    </row>
    <row r="3" customFormat="false" ht="35.05" hidden="false" customHeight="false" outlineLevel="0" collapsed="false">
      <c r="A3" s="3" t="n">
        <v>2</v>
      </c>
      <c r="B3" s="3" t="s">
        <v>206</v>
      </c>
      <c r="C3" s="3" t="s">
        <v>207</v>
      </c>
      <c r="D3" s="3" t="s">
        <v>208</v>
      </c>
      <c r="E3" s="3" t="s">
        <v>209</v>
      </c>
      <c r="F3" s="3" t="s">
        <v>210</v>
      </c>
      <c r="G3" s="3" t="s">
        <v>211</v>
      </c>
      <c r="H3" s="3" t="s">
        <v>212</v>
      </c>
      <c r="I3" s="3" t="s">
        <v>213</v>
      </c>
      <c r="J3" s="3" t="s">
        <v>214</v>
      </c>
      <c r="K3" s="3" t="s">
        <v>215</v>
      </c>
      <c r="L3" s="3" t="n">
        <v>26</v>
      </c>
    </row>
    <row r="4" customFormat="false" ht="46.25" hidden="false" customHeight="false" outlineLevel="0" collapsed="false">
      <c r="A4" s="2" t="n">
        <v>3</v>
      </c>
      <c r="B4" s="2" t="s">
        <v>216</v>
      </c>
      <c r="C4" s="2" t="s">
        <v>217</v>
      </c>
      <c r="D4" s="2" t="s">
        <v>218</v>
      </c>
      <c r="E4" s="2" t="s">
        <v>219</v>
      </c>
      <c r="F4" s="2" t="s">
        <v>220</v>
      </c>
      <c r="G4" s="2" t="s">
        <v>221</v>
      </c>
      <c r="H4" s="2" t="s">
        <v>222</v>
      </c>
      <c r="I4" s="2" t="s">
        <v>223</v>
      </c>
      <c r="J4" s="2" t="s">
        <v>224</v>
      </c>
      <c r="K4" s="2" t="s">
        <v>225</v>
      </c>
      <c r="L4" s="2" t="n">
        <v>27</v>
      </c>
    </row>
    <row r="5" customFormat="false" ht="46.25" hidden="false" customHeight="false" outlineLevel="0" collapsed="false">
      <c r="A5" s="3" t="n">
        <v>4</v>
      </c>
      <c r="B5" s="3" t="s">
        <v>226</v>
      </c>
      <c r="C5" s="3" t="s">
        <v>227</v>
      </c>
      <c r="D5" s="3" t="s">
        <v>227</v>
      </c>
      <c r="E5" s="3" t="s">
        <v>228</v>
      </c>
      <c r="F5" s="3" t="s">
        <v>229</v>
      </c>
      <c r="G5" s="3" t="s">
        <v>230</v>
      </c>
      <c r="H5" s="3" t="s">
        <v>231</v>
      </c>
      <c r="I5" s="3" t="s">
        <v>232</v>
      </c>
      <c r="J5" s="3" t="s">
        <v>233</v>
      </c>
      <c r="K5" s="3" t="s">
        <v>234</v>
      </c>
      <c r="L5" s="3" t="n">
        <v>23</v>
      </c>
    </row>
    <row r="6" customFormat="false" ht="57.45" hidden="false" customHeight="false" outlineLevel="0" collapsed="false">
      <c r="A6" s="2" t="n">
        <v>5</v>
      </c>
      <c r="B6" s="2" t="s">
        <v>235</v>
      </c>
      <c r="C6" s="2" t="s">
        <v>236</v>
      </c>
      <c r="D6" s="2" t="s">
        <v>237</v>
      </c>
      <c r="E6" s="2" t="s">
        <v>238</v>
      </c>
      <c r="F6" s="2" t="s">
        <v>239</v>
      </c>
      <c r="G6" s="2" t="s">
        <v>240</v>
      </c>
      <c r="H6" s="2" t="s">
        <v>241</v>
      </c>
      <c r="I6" s="2" t="s">
        <v>242</v>
      </c>
      <c r="J6" s="2" t="s">
        <v>243</v>
      </c>
      <c r="K6" s="2" t="s">
        <v>244</v>
      </c>
      <c r="L6" s="2" t="n">
        <v>27</v>
      </c>
    </row>
    <row r="7" customFormat="false" ht="35.05" hidden="false" customHeight="false" outlineLevel="0" collapsed="false">
      <c r="A7" s="3" t="n">
        <v>6</v>
      </c>
      <c r="B7" s="3" t="s">
        <v>245</v>
      </c>
      <c r="C7" s="3" t="s">
        <v>246</v>
      </c>
      <c r="D7" s="3" t="s">
        <v>246</v>
      </c>
      <c r="E7" s="3" t="s">
        <v>247</v>
      </c>
      <c r="F7" s="3" t="s">
        <v>248</v>
      </c>
      <c r="G7" s="3" t="s">
        <v>249</v>
      </c>
      <c r="H7" s="3" t="s">
        <v>250</v>
      </c>
      <c r="I7" s="3" t="s">
        <v>251</v>
      </c>
      <c r="J7" s="3" t="s">
        <v>252</v>
      </c>
      <c r="K7" s="3" t="s">
        <v>253</v>
      </c>
      <c r="L7" s="3" t="n">
        <v>23</v>
      </c>
    </row>
    <row r="8" customFormat="false" ht="57.45" hidden="false" customHeight="false" outlineLevel="0" collapsed="false">
      <c r="A8" s="2" t="n">
        <v>7</v>
      </c>
      <c r="B8" s="2" t="s">
        <v>254</v>
      </c>
      <c r="C8" s="2" t="s">
        <v>255</v>
      </c>
      <c r="D8" s="2" t="s">
        <v>256</v>
      </c>
      <c r="E8" s="2" t="s">
        <v>257</v>
      </c>
      <c r="F8" s="2" t="s">
        <v>258</v>
      </c>
      <c r="G8" s="2" t="s">
        <v>259</v>
      </c>
      <c r="H8" s="2" t="s">
        <v>260</v>
      </c>
      <c r="I8" s="2" t="s">
        <v>261</v>
      </c>
      <c r="J8" s="2" t="s">
        <v>262</v>
      </c>
      <c r="K8" s="2" t="s">
        <v>263</v>
      </c>
      <c r="L8" s="2" t="n">
        <v>28</v>
      </c>
    </row>
    <row r="9" customFormat="false" ht="46.25" hidden="false" customHeight="false" outlineLevel="0" collapsed="false">
      <c r="A9" s="3" t="n">
        <v>8</v>
      </c>
      <c r="B9" s="3" t="s">
        <v>264</v>
      </c>
      <c r="C9" s="3" t="s">
        <v>265</v>
      </c>
      <c r="D9" s="3" t="s">
        <v>266</v>
      </c>
      <c r="E9" s="3" t="s">
        <v>267</v>
      </c>
      <c r="F9" s="3" t="s">
        <v>268</v>
      </c>
      <c r="G9" s="3" t="s">
        <v>269</v>
      </c>
      <c r="H9" s="3" t="s">
        <v>270</v>
      </c>
      <c r="I9" s="3" t="s">
        <v>271</v>
      </c>
      <c r="J9" s="3" t="s">
        <v>272</v>
      </c>
      <c r="K9" s="3" t="s">
        <v>273</v>
      </c>
      <c r="L9" s="3" t="n">
        <v>33</v>
      </c>
    </row>
    <row r="10" customFormat="false" ht="57.45" hidden="false" customHeight="false" outlineLevel="0" collapsed="false">
      <c r="A10" s="2" t="n">
        <v>9</v>
      </c>
      <c r="B10" s="2" t="s">
        <v>274</v>
      </c>
      <c r="C10" s="2" t="s">
        <v>275</v>
      </c>
      <c r="D10" s="2" t="s">
        <v>276</v>
      </c>
      <c r="E10" s="2" t="s">
        <v>277</v>
      </c>
      <c r="F10" s="2" t="s">
        <v>278</v>
      </c>
      <c r="G10" s="2" t="s">
        <v>279</v>
      </c>
      <c r="H10" s="2" t="s">
        <v>280</v>
      </c>
      <c r="I10" s="2" t="s">
        <v>281</v>
      </c>
      <c r="J10" s="2" t="s">
        <v>282</v>
      </c>
      <c r="K10" s="2" t="s">
        <v>283</v>
      </c>
      <c r="L10" s="2" t="n">
        <v>28</v>
      </c>
    </row>
    <row r="11" customFormat="false" ht="46.25" hidden="false" customHeight="false" outlineLevel="0" collapsed="false">
      <c r="A11" s="3" t="n">
        <v>10</v>
      </c>
      <c r="B11" s="3" t="s">
        <v>284</v>
      </c>
      <c r="C11" s="3" t="s">
        <v>285</v>
      </c>
      <c r="D11" s="3" t="s">
        <v>286</v>
      </c>
      <c r="E11" s="3" t="s">
        <v>287</v>
      </c>
      <c r="F11" s="3" t="s">
        <v>288</v>
      </c>
      <c r="G11" s="3" t="s">
        <v>289</v>
      </c>
      <c r="H11" s="3" t="s">
        <v>290</v>
      </c>
      <c r="I11" s="3" t="s">
        <v>291</v>
      </c>
      <c r="J11" s="3" t="s">
        <v>292</v>
      </c>
      <c r="K11" s="3" t="s">
        <v>293</v>
      </c>
      <c r="L11" s="3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5" min="4" style="0" width="12"/>
    <col collapsed="false" customWidth="true" hidden="false" outlineLevel="0" max="6" min="6" style="0" width="20"/>
    <col collapsed="false" customWidth="true" hidden="false" outlineLevel="0" max="7" min="7" style="0" width="40"/>
  </cols>
  <sheetData>
    <row r="1" customFormat="false" ht="26.85" hidden="false" customHeight="false" outlineLevel="0" collapsed="false">
      <c r="A1" s="1" t="s">
        <v>294</v>
      </c>
      <c r="B1" s="1" t="s">
        <v>0</v>
      </c>
      <c r="C1" s="1" t="s">
        <v>3</v>
      </c>
      <c r="D1" s="1" t="s">
        <v>295</v>
      </c>
      <c r="E1" s="1" t="s">
        <v>296</v>
      </c>
      <c r="F1" s="1" t="s">
        <v>297</v>
      </c>
      <c r="G1" s="1" t="s">
        <v>298</v>
      </c>
    </row>
    <row r="2" customFormat="false" ht="23.85" hidden="false" customHeight="false" outlineLevel="0" collapsed="false">
      <c r="A2" s="2" t="s">
        <v>299</v>
      </c>
      <c r="B2" s="2" t="s">
        <v>8</v>
      </c>
      <c r="C2" s="2" t="s">
        <v>11</v>
      </c>
      <c r="D2" s="2" t="s">
        <v>13</v>
      </c>
      <c r="E2" s="2" t="n">
        <v>5</v>
      </c>
      <c r="F2" s="2" t="s">
        <v>300</v>
      </c>
      <c r="G2" s="2" t="s">
        <v>301</v>
      </c>
    </row>
    <row r="3" customFormat="false" ht="23.85" hidden="false" customHeight="false" outlineLevel="0" collapsed="false">
      <c r="A3" s="3" t="s">
        <v>299</v>
      </c>
      <c r="B3" s="3" t="s">
        <v>32</v>
      </c>
      <c r="C3" s="3" t="s">
        <v>33</v>
      </c>
      <c r="D3" s="3" t="s">
        <v>13</v>
      </c>
      <c r="E3" s="3" t="n">
        <v>5</v>
      </c>
      <c r="F3" s="3" t="s">
        <v>302</v>
      </c>
      <c r="G3" s="3" t="s">
        <v>303</v>
      </c>
    </row>
    <row r="4" customFormat="false" ht="23.85" hidden="false" customHeight="false" outlineLevel="0" collapsed="false">
      <c r="A4" s="2" t="s">
        <v>299</v>
      </c>
      <c r="B4" s="2" t="s">
        <v>21</v>
      </c>
      <c r="C4" s="2" t="s">
        <v>22</v>
      </c>
      <c r="D4" s="2" t="s">
        <v>24</v>
      </c>
      <c r="E4" s="2" t="n">
        <v>5</v>
      </c>
      <c r="F4" s="2" t="s">
        <v>304</v>
      </c>
      <c r="G4" s="2" t="s">
        <v>305</v>
      </c>
    </row>
    <row r="5" customFormat="false" ht="23.85" hidden="false" customHeight="false" outlineLevel="0" collapsed="false">
      <c r="A5" s="3" t="s">
        <v>299</v>
      </c>
      <c r="B5" s="3" t="s">
        <v>46</v>
      </c>
      <c r="C5" s="3" t="s">
        <v>48</v>
      </c>
      <c r="D5" s="3" t="s">
        <v>13</v>
      </c>
      <c r="E5" s="3" t="n">
        <v>4</v>
      </c>
      <c r="F5" s="3" t="s">
        <v>306</v>
      </c>
      <c r="G5" s="3" t="s">
        <v>307</v>
      </c>
    </row>
    <row r="6" customFormat="false" ht="23.85" hidden="false" customHeight="false" outlineLevel="0" collapsed="false">
      <c r="A6" s="2" t="s">
        <v>308</v>
      </c>
      <c r="B6" s="2" t="s">
        <v>128</v>
      </c>
      <c r="C6" s="2" t="s">
        <v>129</v>
      </c>
      <c r="D6" s="2" t="s">
        <v>29</v>
      </c>
      <c r="E6" s="2" t="n">
        <v>4</v>
      </c>
      <c r="F6" s="2" t="s">
        <v>309</v>
      </c>
      <c r="G6" s="2" t="s">
        <v>310</v>
      </c>
    </row>
    <row r="7" customFormat="false" ht="23.85" hidden="false" customHeight="false" outlineLevel="0" collapsed="false">
      <c r="A7" s="3" t="s">
        <v>308</v>
      </c>
      <c r="B7" s="3" t="s">
        <v>135</v>
      </c>
      <c r="C7" s="3" t="s">
        <v>136</v>
      </c>
      <c r="D7" s="3" t="s">
        <v>29</v>
      </c>
      <c r="E7" s="3" t="n">
        <v>4</v>
      </c>
      <c r="F7" s="3" t="s">
        <v>138</v>
      </c>
      <c r="G7" s="3" t="s">
        <v>311</v>
      </c>
    </row>
    <row r="8" customFormat="false" ht="23.85" hidden="false" customHeight="false" outlineLevel="0" collapsed="false">
      <c r="A8" s="2" t="s">
        <v>308</v>
      </c>
      <c r="B8" s="2" t="s">
        <v>88</v>
      </c>
      <c r="C8" s="2" t="s">
        <v>89</v>
      </c>
      <c r="D8" s="2" t="s">
        <v>13</v>
      </c>
      <c r="E8" s="2" t="n">
        <v>3</v>
      </c>
      <c r="F8" s="2" t="s">
        <v>91</v>
      </c>
      <c r="G8" s="2" t="s">
        <v>312</v>
      </c>
    </row>
    <row r="9" customFormat="false" ht="23.85" hidden="false" customHeight="false" outlineLevel="0" collapsed="false">
      <c r="A9" s="3" t="s">
        <v>308</v>
      </c>
      <c r="B9" s="3" t="s">
        <v>124</v>
      </c>
      <c r="C9" s="3" t="s">
        <v>126</v>
      </c>
      <c r="D9" s="3" t="s">
        <v>29</v>
      </c>
      <c r="E9" s="3" t="n">
        <v>4</v>
      </c>
      <c r="F9" s="3" t="s">
        <v>313</v>
      </c>
      <c r="G9" s="3" t="s">
        <v>314</v>
      </c>
    </row>
    <row r="10" customFormat="false" ht="23.85" hidden="false" customHeight="false" outlineLevel="0" collapsed="false">
      <c r="A10" s="2" t="s">
        <v>308</v>
      </c>
      <c r="B10" s="2" t="s">
        <v>55</v>
      </c>
      <c r="C10" s="2" t="s">
        <v>56</v>
      </c>
      <c r="D10" s="2" t="s">
        <v>13</v>
      </c>
      <c r="E10" s="2" t="n">
        <v>4</v>
      </c>
      <c r="F10" s="2" t="s">
        <v>315</v>
      </c>
      <c r="G10" s="2" t="s">
        <v>316</v>
      </c>
    </row>
    <row r="11" customFormat="false" ht="23.85" hidden="false" customHeight="false" outlineLevel="0" collapsed="false">
      <c r="A11" s="3" t="s">
        <v>317</v>
      </c>
      <c r="B11" s="3" t="s">
        <v>161</v>
      </c>
      <c r="C11" s="3" t="s">
        <v>162</v>
      </c>
      <c r="D11" s="3" t="s">
        <v>29</v>
      </c>
      <c r="E11" s="3" t="n">
        <v>4</v>
      </c>
      <c r="F11" s="3" t="s">
        <v>30</v>
      </c>
      <c r="G11" s="3" t="s">
        <v>318</v>
      </c>
    </row>
    <row r="12" customFormat="false" ht="23.85" hidden="false" customHeight="false" outlineLevel="0" collapsed="false">
      <c r="A12" s="2" t="s">
        <v>317</v>
      </c>
      <c r="B12" s="2" t="s">
        <v>153</v>
      </c>
      <c r="C12" s="2" t="s">
        <v>154</v>
      </c>
      <c r="D12" s="2" t="s">
        <v>29</v>
      </c>
      <c r="E12" s="2" t="n">
        <v>3</v>
      </c>
      <c r="F12" s="2" t="s">
        <v>319</v>
      </c>
      <c r="G12" s="2" t="s">
        <v>320</v>
      </c>
    </row>
    <row r="13" customFormat="false" ht="23.85" hidden="false" customHeight="false" outlineLevel="0" collapsed="false">
      <c r="A13" s="3" t="s">
        <v>317</v>
      </c>
      <c r="B13" s="3" t="s">
        <v>139</v>
      </c>
      <c r="C13" s="3" t="s">
        <v>321</v>
      </c>
      <c r="D13" s="3" t="s">
        <v>29</v>
      </c>
      <c r="E13" s="3" t="n">
        <v>3</v>
      </c>
      <c r="F13" s="3" t="s">
        <v>101</v>
      </c>
      <c r="G13" s="3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00FF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5" min="4" style="0" width="25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323</v>
      </c>
      <c r="B1" s="1" t="s">
        <v>324</v>
      </c>
      <c r="C1" s="1" t="s">
        <v>4</v>
      </c>
      <c r="D1" s="1" t="s">
        <v>6</v>
      </c>
      <c r="E1" s="1" t="s">
        <v>325</v>
      </c>
      <c r="F1" s="1" t="s">
        <v>326</v>
      </c>
    </row>
    <row r="2" customFormat="false" ht="68.65" hidden="false" customHeight="false" outlineLevel="0" collapsed="false">
      <c r="A2" s="2" t="n">
        <v>1</v>
      </c>
      <c r="B2" s="2" t="s">
        <v>327</v>
      </c>
      <c r="C2" s="2" t="s">
        <v>328</v>
      </c>
      <c r="D2" s="2" t="s">
        <v>329</v>
      </c>
      <c r="E2" s="2" t="s">
        <v>330</v>
      </c>
      <c r="F2" s="2" t="s">
        <v>331</v>
      </c>
    </row>
    <row r="3" customFormat="false" ht="57.45" hidden="false" customHeight="false" outlineLevel="0" collapsed="false">
      <c r="A3" s="3" t="n">
        <v>2</v>
      </c>
      <c r="B3" s="3" t="s">
        <v>332</v>
      </c>
      <c r="C3" s="3" t="s">
        <v>333</v>
      </c>
      <c r="D3" s="3" t="s">
        <v>304</v>
      </c>
      <c r="E3" s="3" t="s">
        <v>334</v>
      </c>
      <c r="F3" s="3" t="s">
        <v>335</v>
      </c>
    </row>
    <row r="4" customFormat="false" ht="57.45" hidden="false" customHeight="false" outlineLevel="0" collapsed="false">
      <c r="A4" s="2" t="n">
        <v>3</v>
      </c>
      <c r="B4" s="2" t="s">
        <v>336</v>
      </c>
      <c r="C4" s="2" t="s">
        <v>337</v>
      </c>
      <c r="D4" s="2" t="s">
        <v>338</v>
      </c>
      <c r="E4" s="2" t="s">
        <v>339</v>
      </c>
      <c r="F4" s="2" t="s">
        <v>340</v>
      </c>
    </row>
    <row r="5" customFormat="false" ht="57.45" hidden="false" customHeight="false" outlineLevel="0" collapsed="false">
      <c r="A5" s="3" t="n">
        <v>4</v>
      </c>
      <c r="B5" s="3" t="s">
        <v>341</v>
      </c>
      <c r="C5" s="3" t="s">
        <v>342</v>
      </c>
      <c r="D5" s="3" t="s">
        <v>71</v>
      </c>
      <c r="E5" s="3" t="s">
        <v>343</v>
      </c>
      <c r="F5" s="3" t="s">
        <v>344</v>
      </c>
    </row>
    <row r="6" customFormat="false" ht="46.25" hidden="false" customHeight="false" outlineLevel="0" collapsed="false">
      <c r="A6" s="2" t="n">
        <v>5</v>
      </c>
      <c r="B6" s="2" t="s">
        <v>345</v>
      </c>
      <c r="C6" s="2" t="s">
        <v>346</v>
      </c>
      <c r="D6" s="2" t="s">
        <v>347</v>
      </c>
      <c r="E6" s="2" t="s">
        <v>348</v>
      </c>
      <c r="F6" s="2" t="s">
        <v>349</v>
      </c>
    </row>
    <row r="7" customFormat="false" ht="57.45" hidden="false" customHeight="false" outlineLevel="0" collapsed="false">
      <c r="A7" s="3" t="n">
        <v>6</v>
      </c>
      <c r="B7" s="3" t="s">
        <v>350</v>
      </c>
      <c r="C7" s="3" t="s">
        <v>351</v>
      </c>
      <c r="D7" s="3" t="s">
        <v>352</v>
      </c>
      <c r="E7" s="3" t="s">
        <v>353</v>
      </c>
      <c r="F7" s="3" t="s">
        <v>354</v>
      </c>
    </row>
    <row r="8" customFormat="false" ht="68.65" hidden="false" customHeight="false" outlineLevel="0" collapsed="false">
      <c r="A8" s="2" t="n">
        <v>7</v>
      </c>
      <c r="B8" s="2" t="s">
        <v>355</v>
      </c>
      <c r="C8" s="2" t="s">
        <v>356</v>
      </c>
      <c r="D8" s="2" t="s">
        <v>357</v>
      </c>
      <c r="E8" s="2" t="s">
        <v>358</v>
      </c>
      <c r="F8" s="2" t="s">
        <v>359</v>
      </c>
    </row>
    <row r="9" customFormat="false" ht="57.45" hidden="false" customHeight="false" outlineLevel="0" collapsed="false">
      <c r="A9" s="3" t="n">
        <v>8</v>
      </c>
      <c r="B9" s="3" t="s">
        <v>360</v>
      </c>
      <c r="C9" s="3" t="s">
        <v>361</v>
      </c>
      <c r="D9" s="3" t="s">
        <v>304</v>
      </c>
      <c r="E9" s="3" t="s">
        <v>168</v>
      </c>
      <c r="F9" s="3" t="s">
        <v>362</v>
      </c>
    </row>
    <row r="10" customFormat="false" ht="57.45" hidden="false" customHeight="false" outlineLevel="0" collapsed="false">
      <c r="A10" s="2" t="n">
        <v>9</v>
      </c>
      <c r="B10" s="2" t="s">
        <v>363</v>
      </c>
      <c r="C10" s="2" t="s">
        <v>364</v>
      </c>
      <c r="D10" s="2" t="s">
        <v>365</v>
      </c>
      <c r="E10" s="2" t="s">
        <v>139</v>
      </c>
      <c r="F10" s="2" t="s">
        <v>366</v>
      </c>
    </row>
    <row r="11" customFormat="false" ht="46.25" hidden="false" customHeight="false" outlineLevel="0" collapsed="false">
      <c r="A11" s="3" t="n">
        <v>10</v>
      </c>
      <c r="B11" s="3" t="s">
        <v>367</v>
      </c>
      <c r="C11" s="3" t="s">
        <v>368</v>
      </c>
      <c r="D11" s="3" t="s">
        <v>304</v>
      </c>
      <c r="E11" s="3" t="s">
        <v>369</v>
      </c>
      <c r="F11" s="3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2026-02-27T18:35:33Z</dcterms:created>
  <dc:creator>openpyxl</dc:creator>
  <dc:description/>
  <dc:language>en-US</dc:language>
  <cp:lastModifiedBy/>
  <dcterms:modified xsi:type="dcterms:W3CDTF">2026-02-27T18:35:34Z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